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analisis" sheetId="2" r:id="rId5"/>
  </sheets>
  <definedNames/>
  <calcPr/>
  <extLst>
    <ext uri="GoogleSheetsCustomDataVersion2">
      <go:sheetsCustomData xmlns:go="http://customooxmlschemas.google.com/" r:id="rId6" roundtripDataChecksum="92cLlnGXzvpCdCe/uInhdmW2c/m0NuRfkZ+SPT/dh0Y="/>
    </ext>
  </extLst>
</workbook>
</file>

<file path=xl/sharedStrings.xml><?xml version="1.0" encoding="utf-8"?>
<sst xmlns="http://schemas.openxmlformats.org/spreadsheetml/2006/main" count="47" uniqueCount="23">
  <si>
    <t>Tahun</t>
  </si>
  <si>
    <t xml:space="preserve">     Jan</t>
  </si>
  <si>
    <t xml:space="preserve">     Feb</t>
  </si>
  <si>
    <t xml:space="preserve">    Mart</t>
  </si>
  <si>
    <t xml:space="preserve">      Apr</t>
  </si>
  <si>
    <t xml:space="preserve">     Mei</t>
  </si>
  <si>
    <t xml:space="preserve">     Jun</t>
  </si>
  <si>
    <t xml:space="preserve">     Juli</t>
  </si>
  <si>
    <t xml:space="preserve">    Agt</t>
  </si>
  <si>
    <t xml:space="preserve">   Sept</t>
  </si>
  <si>
    <t xml:space="preserve">    Okt</t>
  </si>
  <si>
    <t xml:space="preserve">    Nop</t>
  </si>
  <si>
    <t xml:space="preserve">    Des</t>
  </si>
  <si>
    <t xml:space="preserve">   Jumlah</t>
  </si>
  <si>
    <t>Jml Pddk</t>
  </si>
  <si>
    <t>IR</t>
  </si>
  <si>
    <t>CFR</t>
  </si>
  <si>
    <t>P</t>
  </si>
  <si>
    <t>M</t>
  </si>
  <si>
    <t>Bulan</t>
  </si>
  <si>
    <t>X1 (curah hujan, cc)</t>
  </si>
  <si>
    <t>X2 (lama hujan, days)</t>
  </si>
  <si>
    <t>Y (jumlah kasus)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</si>
</sst>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#,##0.000"/>
    <numFmt numFmtId="166" formatCode="0_);[Red]\(0\)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/>
    <font>
      <sz val="8.0"/>
      <color theme="1"/>
      <name val="Arial"/>
    </font>
    <font>
      <sz val="9.0"/>
      <color theme="1"/>
      <name val="Arial"/>
    </font>
    <font>
      <sz val="10.0"/>
      <color theme="1"/>
      <name val="Arial Narrow"/>
    </font>
    <font>
      <b/>
      <sz val="11.0"/>
      <color theme="1"/>
      <name val="Calibri"/>
    </font>
    <font>
      <b/>
      <sz val="11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2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4" numFmtId="0" xfId="0" applyBorder="1" applyFont="1"/>
    <xf borderId="1" fillId="0" fontId="5" numFmtId="10" xfId="0" applyBorder="1" applyFont="1" applyNumberFormat="1"/>
    <xf borderId="4" fillId="0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5" numFmtId="164" xfId="0" applyBorder="1" applyFont="1" applyNumberFormat="1"/>
    <xf borderId="1" fillId="0" fontId="5" numFmtId="2" xfId="0" applyAlignment="1" applyBorder="1" applyFont="1" applyNumberFormat="1">
      <alignment horizontal="center"/>
    </xf>
    <xf borderId="1" fillId="0" fontId="5" numFmtId="2" xfId="0" applyBorder="1" applyFont="1" applyNumberFormat="1"/>
    <xf borderId="1" fillId="2" fontId="5" numFmtId="164" xfId="0" applyBorder="1" applyFill="1" applyFont="1" applyNumberFormat="1"/>
    <xf borderId="1" fillId="0" fontId="7" numFmtId="0" xfId="0" applyAlignment="1" applyBorder="1" applyFont="1">
      <alignment horizontal="center" vertical="center"/>
    </xf>
    <xf borderId="1" fillId="0" fontId="8" numFmtId="165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1" numFmtId="17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9" numFmtId="165" xfId="0" applyAlignment="1" applyBorder="1" applyFont="1" applyNumberForma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166" xfId="0" applyAlignment="1" applyBorder="1" applyFont="1" applyNumberFormat="1">
      <alignment horizontal="center" vertical="center"/>
    </xf>
    <xf borderId="5" fillId="0" fontId="11" numFmtId="0" xfId="0" applyAlignment="1" applyBorder="1" applyFont="1">
      <alignment horizontal="center" vertical="center"/>
    </xf>
    <xf borderId="1" fillId="3" fontId="1" numFmtId="17" xfId="0" applyAlignment="1" applyBorder="1" applyFill="1" applyFont="1" applyNumberFormat="1">
      <alignment horizontal="center" vertical="center"/>
    </xf>
    <xf borderId="1" fillId="3" fontId="10" numFmtId="165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3" fontId="10" numFmtId="166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analisis!$D$1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analisis!$D$2:$D$169</c:f>
              <c:numCache/>
            </c:numRef>
          </c:val>
          <c:smooth val="0"/>
        </c:ser>
        <c:axId val="696017755"/>
        <c:axId val="1744935489"/>
      </c:lineChart>
      <c:catAx>
        <c:axId val="696017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935489"/>
      </c:catAx>
      <c:valAx>
        <c:axId val="1744935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017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8</xdr:row>
      <xdr:rowOff>114300</xdr:rowOff>
    </xdr:from>
    <xdr:ext cx="5715000" cy="3533775"/>
    <xdr:graphicFrame>
      <xdr:nvGraphicFramePr>
        <xdr:cNvPr id="106960181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1.57"/>
    <col customWidth="1" min="3" max="3" width="5.43"/>
    <col customWidth="1" min="4" max="4" width="3.43"/>
    <col customWidth="1" min="5" max="5" width="6.57"/>
    <col customWidth="1" min="6" max="6" width="3.86"/>
    <col customWidth="1" min="7" max="7" width="4.0"/>
    <col customWidth="1" min="8" max="8" width="4.57"/>
    <col customWidth="1" min="9" max="9" width="5.43"/>
    <col customWidth="1" min="10" max="10" width="3.43"/>
    <col customWidth="1" min="11" max="11" width="5.86"/>
    <col customWidth="1" min="12" max="12" width="3.57"/>
    <col customWidth="1" min="13" max="13" width="4.43"/>
    <col customWidth="1" min="14" max="14" width="3.57"/>
    <col customWidth="1" min="15" max="15" width="4.14"/>
    <col customWidth="1" min="16" max="16" width="3.57"/>
    <col customWidth="1" min="17" max="17" width="4.43"/>
    <col customWidth="1" min="18" max="18" width="3.57"/>
    <col customWidth="1" min="19" max="19" width="3.86"/>
    <col customWidth="1" min="20" max="20" width="3.43"/>
    <col customWidth="1" min="21" max="21" width="4.57"/>
    <col customWidth="1" min="22" max="22" width="3.43"/>
    <col customWidth="1" min="23" max="23" width="4.57"/>
    <col customWidth="1" min="24" max="24" width="2.57"/>
    <col customWidth="1" min="25" max="25" width="3.86"/>
    <col customWidth="1" min="26" max="26" width="2.57"/>
    <col customWidth="1" min="27" max="27" width="5.43"/>
    <col customWidth="1" min="28" max="28" width="4.86"/>
    <col customWidth="1" min="29" max="29" width="10.43"/>
    <col customWidth="1" min="30" max="30" width="8.43"/>
    <col customWidth="1" min="31" max="31" width="7.43"/>
  </cols>
  <sheetData>
    <row r="1" ht="14.25" customHeight="1">
      <c r="B1" s="1"/>
    </row>
    <row r="2" ht="14.25" customHeight="1">
      <c r="B2" s="2" t="s">
        <v>0</v>
      </c>
      <c r="C2" s="3" t="s">
        <v>1</v>
      </c>
      <c r="D2" s="4"/>
      <c r="E2" s="3" t="s">
        <v>2</v>
      </c>
      <c r="F2" s="4"/>
      <c r="G2" s="3" t="s">
        <v>3</v>
      </c>
      <c r="H2" s="4"/>
      <c r="I2" s="5" t="s">
        <v>4</v>
      </c>
      <c r="J2" s="5"/>
      <c r="K2" s="3" t="s">
        <v>5</v>
      </c>
      <c r="L2" s="4"/>
      <c r="M2" s="5" t="s">
        <v>6</v>
      </c>
      <c r="N2" s="5"/>
      <c r="O2" s="6" t="s">
        <v>7</v>
      </c>
      <c r="P2" s="6"/>
      <c r="Q2" s="6" t="s">
        <v>8</v>
      </c>
      <c r="R2" s="6"/>
      <c r="S2" s="6" t="s">
        <v>9</v>
      </c>
      <c r="T2" s="6"/>
      <c r="U2" s="3" t="s">
        <v>10</v>
      </c>
      <c r="V2" s="4"/>
      <c r="W2" s="3" t="s">
        <v>11</v>
      </c>
      <c r="X2" s="4"/>
      <c r="Y2" s="3" t="s">
        <v>12</v>
      </c>
      <c r="Z2" s="4"/>
      <c r="AA2" s="7" t="s">
        <v>13</v>
      </c>
      <c r="AB2" s="4"/>
      <c r="AC2" s="6" t="s">
        <v>14</v>
      </c>
      <c r="AD2" s="5" t="s">
        <v>15</v>
      </c>
      <c r="AE2" s="5" t="s">
        <v>16</v>
      </c>
    </row>
    <row r="3" ht="14.25" customHeight="1">
      <c r="B3" s="2"/>
      <c r="C3" s="8" t="s">
        <v>17</v>
      </c>
      <c r="D3" s="8" t="s">
        <v>18</v>
      </c>
      <c r="E3" s="8" t="s">
        <v>17</v>
      </c>
      <c r="F3" s="8" t="s">
        <v>18</v>
      </c>
      <c r="G3" s="8" t="s">
        <v>17</v>
      </c>
      <c r="H3" s="8" t="s">
        <v>18</v>
      </c>
      <c r="I3" s="8" t="s">
        <v>17</v>
      </c>
      <c r="J3" s="8" t="s">
        <v>18</v>
      </c>
      <c r="K3" s="8" t="s">
        <v>17</v>
      </c>
      <c r="L3" s="8" t="s">
        <v>18</v>
      </c>
      <c r="M3" s="8" t="s">
        <v>17</v>
      </c>
      <c r="N3" s="8" t="s">
        <v>18</v>
      </c>
      <c r="O3" s="8" t="s">
        <v>17</v>
      </c>
      <c r="P3" s="8" t="s">
        <v>18</v>
      </c>
      <c r="Q3" s="8" t="s">
        <v>17</v>
      </c>
      <c r="R3" s="8" t="s">
        <v>18</v>
      </c>
      <c r="S3" s="8" t="s">
        <v>17</v>
      </c>
      <c r="T3" s="8" t="s">
        <v>18</v>
      </c>
      <c r="U3" s="8" t="s">
        <v>17</v>
      </c>
      <c r="V3" s="8" t="s">
        <v>18</v>
      </c>
      <c r="W3" s="8" t="s">
        <v>17</v>
      </c>
      <c r="X3" s="8" t="s">
        <v>18</v>
      </c>
      <c r="Y3" s="8" t="s">
        <v>17</v>
      </c>
      <c r="Z3" s="8" t="s">
        <v>18</v>
      </c>
      <c r="AA3" s="8" t="s">
        <v>17</v>
      </c>
      <c r="AB3" s="8" t="s">
        <v>18</v>
      </c>
      <c r="AC3" s="9"/>
      <c r="AD3" s="10"/>
      <c r="AE3" s="11"/>
    </row>
    <row r="4" ht="14.25" customHeight="1">
      <c r="A4" s="12"/>
      <c r="B4" s="5">
        <v>2018.0</v>
      </c>
      <c r="C4" s="8">
        <v>19.0</v>
      </c>
      <c r="D4" s="8">
        <v>0.0</v>
      </c>
      <c r="E4" s="8">
        <v>12.0</v>
      </c>
      <c r="F4" s="8">
        <v>0.0</v>
      </c>
      <c r="G4" s="8">
        <v>7.0</v>
      </c>
      <c r="H4" s="8">
        <v>0.0</v>
      </c>
      <c r="I4" s="8">
        <v>8.0</v>
      </c>
      <c r="J4" s="8">
        <v>0.0</v>
      </c>
      <c r="K4" s="8">
        <v>10.0</v>
      </c>
      <c r="L4" s="8">
        <v>0.0</v>
      </c>
      <c r="M4" s="8">
        <v>5.0</v>
      </c>
      <c r="N4" s="8">
        <v>0.0</v>
      </c>
      <c r="O4" s="8">
        <v>10.0</v>
      </c>
      <c r="P4" s="8">
        <v>0.0</v>
      </c>
      <c r="Q4" s="8">
        <v>5.0</v>
      </c>
      <c r="R4" s="8">
        <v>0.0</v>
      </c>
      <c r="S4" s="8">
        <v>10.0</v>
      </c>
      <c r="T4" s="8">
        <v>0.0</v>
      </c>
      <c r="U4" s="8">
        <v>10.0</v>
      </c>
      <c r="V4" s="8">
        <v>0.0</v>
      </c>
      <c r="W4" s="8">
        <v>18.0</v>
      </c>
      <c r="X4" s="8">
        <v>0.0</v>
      </c>
      <c r="Y4" s="8">
        <v>10.0</v>
      </c>
      <c r="Z4" s="8">
        <v>0.0</v>
      </c>
      <c r="AA4" s="8">
        <f t="shared" ref="AA4:AB4" si="1">C4+E4+G4+I4+K4+M4+O4+Q4+S4+U4+W4+Y4</f>
        <v>124</v>
      </c>
      <c r="AB4" s="13">
        <f t="shared" si="1"/>
        <v>0</v>
      </c>
      <c r="AC4" s="14">
        <v>755977.0</v>
      </c>
      <c r="AD4" s="15">
        <f t="shared" ref="AD4:AD16" si="3">AA4/AC4*100000</f>
        <v>16.40261542</v>
      </c>
      <c r="AE4" s="16">
        <f t="shared" ref="AE4:AE16" si="4">AB4/AA4*100</f>
        <v>0</v>
      </c>
    </row>
    <row r="5" ht="14.25" customHeight="1">
      <c r="B5" s="2">
        <v>2017.0</v>
      </c>
      <c r="C5" s="8">
        <v>47.0</v>
      </c>
      <c r="D5" s="8">
        <v>0.0</v>
      </c>
      <c r="E5" s="8">
        <v>27.0</v>
      </c>
      <c r="F5" s="8">
        <v>0.0</v>
      </c>
      <c r="G5" s="8">
        <v>30.0</v>
      </c>
      <c r="H5" s="8">
        <v>0.0</v>
      </c>
      <c r="I5" s="8">
        <v>14.0</v>
      </c>
      <c r="J5" s="8">
        <v>0.0</v>
      </c>
      <c r="K5" s="8">
        <v>15.0</v>
      </c>
      <c r="L5" s="8">
        <v>0.0</v>
      </c>
      <c r="M5" s="8">
        <v>16.0</v>
      </c>
      <c r="N5" s="8">
        <v>0.0</v>
      </c>
      <c r="O5" s="8">
        <v>3.0</v>
      </c>
      <c r="P5" s="8">
        <v>0.0</v>
      </c>
      <c r="Q5" s="8">
        <v>4.0</v>
      </c>
      <c r="R5" s="8">
        <v>0.0</v>
      </c>
      <c r="S5" s="8">
        <v>2.0</v>
      </c>
      <c r="T5" s="8">
        <v>0.0</v>
      </c>
      <c r="U5" s="8">
        <v>8.0</v>
      </c>
      <c r="V5" s="8">
        <v>0.0</v>
      </c>
      <c r="W5" s="8">
        <v>33.0</v>
      </c>
      <c r="X5" s="8">
        <v>1.0</v>
      </c>
      <c r="Y5" s="8">
        <v>9.0</v>
      </c>
      <c r="Z5" s="8">
        <v>0.0</v>
      </c>
      <c r="AA5" s="8">
        <f t="shared" ref="AA5:AB5" si="2">C5+E5+G5+I5+K5+M5+O5+Q5+S5+U5+W5+Y5</f>
        <v>208</v>
      </c>
      <c r="AB5" s="13">
        <f t="shared" si="2"/>
        <v>1</v>
      </c>
      <c r="AC5" s="17">
        <v>684686.0</v>
      </c>
      <c r="AD5" s="15">
        <f t="shared" si="3"/>
        <v>30.37888901</v>
      </c>
      <c r="AE5" s="16">
        <f t="shared" si="4"/>
        <v>0.4807692308</v>
      </c>
    </row>
    <row r="6" ht="14.25" customHeight="1">
      <c r="B6" s="5">
        <v>2016.0</v>
      </c>
      <c r="C6" s="8">
        <v>113.0</v>
      </c>
      <c r="D6" s="8">
        <v>0.0</v>
      </c>
      <c r="E6" s="8">
        <v>131.0</v>
      </c>
      <c r="F6" s="8">
        <v>1.0</v>
      </c>
      <c r="G6" s="8">
        <v>131.0</v>
      </c>
      <c r="H6" s="8">
        <v>0.0</v>
      </c>
      <c r="I6" s="8">
        <v>131.0</v>
      </c>
      <c r="J6" s="8">
        <v>1.0</v>
      </c>
      <c r="K6" s="8">
        <v>85.0</v>
      </c>
      <c r="L6" s="8">
        <v>0.0</v>
      </c>
      <c r="M6" s="8">
        <v>105.0</v>
      </c>
      <c r="N6" s="8">
        <v>0.0</v>
      </c>
      <c r="O6" s="8">
        <v>78.0</v>
      </c>
      <c r="P6" s="8">
        <v>0.0</v>
      </c>
      <c r="Q6" s="8">
        <v>113.0</v>
      </c>
      <c r="R6" s="8">
        <v>0.0</v>
      </c>
      <c r="S6" s="8">
        <v>78.0</v>
      </c>
      <c r="T6" s="8">
        <v>0.0</v>
      </c>
      <c r="U6" s="8">
        <v>82.0</v>
      </c>
      <c r="V6" s="8">
        <v>2.0</v>
      </c>
      <c r="W6" s="8">
        <v>63.0</v>
      </c>
      <c r="X6" s="8">
        <v>0.0</v>
      </c>
      <c r="Y6" s="8">
        <v>27.0</v>
      </c>
      <c r="Z6" s="8">
        <v>0.0</v>
      </c>
      <c r="AA6" s="8">
        <f t="shared" ref="AA6:AB6" si="5">C6+E6+G6+I6+K6+M6+O6+Q6+S6+U6+W6+Y6</f>
        <v>1137</v>
      </c>
      <c r="AB6" s="13">
        <f t="shared" si="5"/>
        <v>4</v>
      </c>
      <c r="AC6" s="17">
        <v>684686.0</v>
      </c>
      <c r="AD6" s="15">
        <f t="shared" si="3"/>
        <v>166.0615231</v>
      </c>
      <c r="AE6" s="16">
        <f t="shared" si="4"/>
        <v>0.3518029903</v>
      </c>
    </row>
    <row r="7" ht="14.25" customHeight="1">
      <c r="B7" s="2">
        <v>2015.0</v>
      </c>
      <c r="C7" s="8">
        <v>129.0</v>
      </c>
      <c r="D7" s="8">
        <v>1.0</v>
      </c>
      <c r="E7" s="8">
        <v>81.0</v>
      </c>
      <c r="F7" s="8">
        <v>0.0</v>
      </c>
      <c r="G7" s="8">
        <v>44.0</v>
      </c>
      <c r="H7" s="8">
        <v>0.0</v>
      </c>
      <c r="I7" s="8">
        <v>44.0</v>
      </c>
      <c r="J7" s="8">
        <v>0.0</v>
      </c>
      <c r="K7" s="8">
        <v>36.0</v>
      </c>
      <c r="L7" s="8">
        <v>1.0</v>
      </c>
      <c r="M7" s="8">
        <v>37.0</v>
      </c>
      <c r="N7" s="8">
        <v>1.0</v>
      </c>
      <c r="O7" s="8">
        <v>23.0</v>
      </c>
      <c r="P7" s="8">
        <v>0.0</v>
      </c>
      <c r="Q7" s="8">
        <v>14.0</v>
      </c>
      <c r="R7" s="8">
        <v>0.0</v>
      </c>
      <c r="S7" s="8">
        <v>11.0</v>
      </c>
      <c r="T7" s="8">
        <v>0.0</v>
      </c>
      <c r="U7" s="8">
        <v>13.0</v>
      </c>
      <c r="V7" s="8">
        <v>0.0</v>
      </c>
      <c r="W7" s="8">
        <v>21.0</v>
      </c>
      <c r="X7" s="8">
        <v>0.0</v>
      </c>
      <c r="Y7" s="8">
        <v>6.0</v>
      </c>
      <c r="Z7" s="8">
        <v>1.0</v>
      </c>
      <c r="AA7" s="8">
        <f t="shared" ref="AA7:AB7" si="6">C7+E7+G7+I7+K7+M7+O7+Q7+S7+U7+W7+Y7</f>
        <v>459</v>
      </c>
      <c r="AB7" s="13">
        <f t="shared" si="6"/>
        <v>4</v>
      </c>
      <c r="AC7" s="17">
        <v>684686.0</v>
      </c>
      <c r="AD7" s="15">
        <f t="shared" si="3"/>
        <v>67.03802911</v>
      </c>
      <c r="AE7" s="16">
        <f t="shared" si="4"/>
        <v>0.871459695</v>
      </c>
    </row>
    <row r="8" ht="14.25" customHeight="1">
      <c r="B8" s="5">
        <v>2014.0</v>
      </c>
      <c r="C8" s="8">
        <v>37.0</v>
      </c>
      <c r="D8" s="8">
        <v>1.0</v>
      </c>
      <c r="E8" s="8">
        <v>20.0</v>
      </c>
      <c r="F8" s="8">
        <v>1.0</v>
      </c>
      <c r="G8" s="8">
        <v>23.0</v>
      </c>
      <c r="H8" s="8">
        <v>0.0</v>
      </c>
      <c r="I8" s="8">
        <v>20.0</v>
      </c>
      <c r="J8" s="8">
        <v>0.0</v>
      </c>
      <c r="K8" s="8">
        <v>21.0</v>
      </c>
      <c r="L8" s="8">
        <v>1.0</v>
      </c>
      <c r="M8" s="8">
        <v>33.0</v>
      </c>
      <c r="N8" s="8">
        <v>0.0</v>
      </c>
      <c r="O8" s="8">
        <v>22.0</v>
      </c>
      <c r="P8" s="8">
        <v>0.0</v>
      </c>
      <c r="Q8" s="8">
        <v>35.0</v>
      </c>
      <c r="R8" s="8">
        <v>0.0</v>
      </c>
      <c r="S8" s="8">
        <v>26.0</v>
      </c>
      <c r="T8" s="8">
        <v>0.0</v>
      </c>
      <c r="U8" s="8">
        <v>33.0</v>
      </c>
      <c r="V8" s="8">
        <v>0.0</v>
      </c>
      <c r="W8" s="8">
        <v>36.0</v>
      </c>
      <c r="X8" s="8">
        <v>0.0</v>
      </c>
      <c r="Y8" s="8">
        <v>21.0</v>
      </c>
      <c r="Z8" s="8">
        <v>0.0</v>
      </c>
      <c r="AA8" s="8">
        <f t="shared" ref="AA8:AB8" si="7">C8+E8+G8+I8+K8+M8+O8+Q8+S8+U8+W8+Y8</f>
        <v>327</v>
      </c>
      <c r="AB8" s="13">
        <f t="shared" si="7"/>
        <v>3</v>
      </c>
      <c r="AC8" s="14">
        <v>675382.0</v>
      </c>
      <c r="AD8" s="15">
        <f t="shared" si="3"/>
        <v>48.41704398</v>
      </c>
      <c r="AE8" s="16">
        <f t="shared" si="4"/>
        <v>0.9174311927</v>
      </c>
    </row>
    <row r="9" ht="14.25" customHeight="1">
      <c r="B9" s="2">
        <v>2013.0</v>
      </c>
      <c r="C9" s="8">
        <v>71.0</v>
      </c>
      <c r="D9" s="8">
        <v>0.0</v>
      </c>
      <c r="E9" s="8">
        <v>52.0</v>
      </c>
      <c r="F9" s="8">
        <v>1.0</v>
      </c>
      <c r="G9" s="8">
        <v>40.0</v>
      </c>
      <c r="H9" s="8">
        <v>0.0</v>
      </c>
      <c r="I9" s="8">
        <v>26.0</v>
      </c>
      <c r="J9" s="8">
        <v>0.0</v>
      </c>
      <c r="K9" s="8">
        <v>23.0</v>
      </c>
      <c r="L9" s="8">
        <v>0.0</v>
      </c>
      <c r="M9" s="8">
        <v>20.0</v>
      </c>
      <c r="N9" s="8">
        <v>0.0</v>
      </c>
      <c r="O9" s="8">
        <v>31.0</v>
      </c>
      <c r="P9" s="8">
        <v>0.0</v>
      </c>
      <c r="Q9" s="8">
        <v>10.0</v>
      </c>
      <c r="R9" s="8">
        <v>0.0</v>
      </c>
      <c r="S9" s="8">
        <v>16.0</v>
      </c>
      <c r="T9" s="8">
        <v>0.0</v>
      </c>
      <c r="U9" s="8">
        <v>13.0</v>
      </c>
      <c r="V9" s="8">
        <v>0.0</v>
      </c>
      <c r="W9" s="8">
        <v>27.0</v>
      </c>
      <c r="X9" s="8">
        <v>0.0</v>
      </c>
      <c r="Y9" s="8">
        <v>22.0</v>
      </c>
      <c r="Z9" s="8">
        <v>0.0</v>
      </c>
      <c r="AA9" s="8">
        <f t="shared" ref="AA9:AB9" si="8">C9+E9+G9+I9+K9+M9+O9+Q9+S9+U9+W9+Y9</f>
        <v>351</v>
      </c>
      <c r="AB9" s="13">
        <f t="shared" si="8"/>
        <v>1</v>
      </c>
      <c r="AC9" s="14">
        <v>675382.0</v>
      </c>
      <c r="AD9" s="15">
        <f t="shared" si="3"/>
        <v>51.9705885</v>
      </c>
      <c r="AE9" s="16">
        <f t="shared" si="4"/>
        <v>0.2849002849</v>
      </c>
    </row>
    <row r="10" ht="14.25" customHeight="1">
      <c r="B10" s="5">
        <v>2012.0</v>
      </c>
      <c r="C10" s="8">
        <v>10.0</v>
      </c>
      <c r="D10" s="8">
        <v>0.0</v>
      </c>
      <c r="E10" s="8">
        <v>3.0</v>
      </c>
      <c r="F10" s="8">
        <v>0.0</v>
      </c>
      <c r="G10" s="8">
        <v>3.0</v>
      </c>
      <c r="H10" s="8">
        <v>0.0</v>
      </c>
      <c r="I10" s="8">
        <v>2.0</v>
      </c>
      <c r="J10" s="8">
        <v>0.0</v>
      </c>
      <c r="K10" s="8">
        <v>0.0</v>
      </c>
      <c r="L10" s="8">
        <v>0.0</v>
      </c>
      <c r="M10" s="8">
        <v>5.0</v>
      </c>
      <c r="N10" s="8">
        <v>0.0</v>
      </c>
      <c r="O10" s="8">
        <v>8.0</v>
      </c>
      <c r="P10" s="8">
        <v>0.0</v>
      </c>
      <c r="Q10" s="8">
        <v>4.0</v>
      </c>
      <c r="R10" s="8">
        <v>0.0</v>
      </c>
      <c r="S10" s="8">
        <v>1.0</v>
      </c>
      <c r="T10" s="8">
        <v>0.0</v>
      </c>
      <c r="U10" s="8">
        <v>9.0</v>
      </c>
      <c r="V10" s="8">
        <v>0.0</v>
      </c>
      <c r="W10" s="8">
        <v>5.0</v>
      </c>
      <c r="X10" s="8">
        <v>0.0</v>
      </c>
      <c r="Y10" s="8">
        <v>31.0</v>
      </c>
      <c r="Z10" s="8">
        <v>0.0</v>
      </c>
      <c r="AA10" s="8">
        <f t="shared" ref="AA10:AB10" si="9">C10+E10+G10+I10+K10+M10+O10+Q10+S10+U10+W10+Y10</f>
        <v>81</v>
      </c>
      <c r="AB10" s="13">
        <f t="shared" si="9"/>
        <v>0</v>
      </c>
      <c r="AC10" s="14">
        <v>717544.0</v>
      </c>
      <c r="AD10" s="15">
        <f t="shared" si="3"/>
        <v>11.28850635</v>
      </c>
      <c r="AE10" s="16">
        <f t="shared" si="4"/>
        <v>0</v>
      </c>
    </row>
    <row r="11" ht="14.25" customHeight="1">
      <c r="B11" s="2">
        <v>2011.0</v>
      </c>
      <c r="C11" s="8">
        <v>22.0</v>
      </c>
      <c r="D11" s="8">
        <v>0.0</v>
      </c>
      <c r="E11" s="8">
        <v>8.0</v>
      </c>
      <c r="F11" s="8">
        <v>0.0</v>
      </c>
      <c r="G11" s="8">
        <v>9.0</v>
      </c>
      <c r="H11" s="8">
        <v>0.0</v>
      </c>
      <c r="I11" s="8">
        <v>1.0</v>
      </c>
      <c r="J11" s="8">
        <v>0.0</v>
      </c>
      <c r="K11" s="8">
        <v>2.0</v>
      </c>
      <c r="L11" s="8">
        <v>0.0</v>
      </c>
      <c r="M11" s="8">
        <v>1.0</v>
      </c>
      <c r="N11" s="8">
        <v>1.0</v>
      </c>
      <c r="O11" s="8">
        <v>1.0</v>
      </c>
      <c r="P11" s="8">
        <v>0.0</v>
      </c>
      <c r="Q11" s="8">
        <v>1.0</v>
      </c>
      <c r="R11" s="8">
        <v>0.0</v>
      </c>
      <c r="S11" s="8">
        <v>0.0</v>
      </c>
      <c r="T11" s="8">
        <v>0.0</v>
      </c>
      <c r="U11" s="8">
        <v>1.0</v>
      </c>
      <c r="V11" s="8">
        <v>0.0</v>
      </c>
      <c r="W11" s="8">
        <v>1.0</v>
      </c>
      <c r="X11" s="8">
        <v>0.0</v>
      </c>
      <c r="Y11" s="8">
        <v>3.0</v>
      </c>
      <c r="Z11" s="8">
        <v>0.0</v>
      </c>
      <c r="AA11" s="8">
        <f t="shared" ref="AA11:AB11" si="10">C11+E11+G11+I11+K11+M11+O11+Q11+S11+U11+W11+Y11</f>
        <v>50</v>
      </c>
      <c r="AB11" s="13">
        <f t="shared" si="10"/>
        <v>1</v>
      </c>
      <c r="AC11" s="14">
        <v>717544.0</v>
      </c>
      <c r="AD11" s="15">
        <f t="shared" si="3"/>
        <v>6.968213796</v>
      </c>
      <c r="AE11" s="16">
        <f t="shared" si="4"/>
        <v>2</v>
      </c>
    </row>
    <row r="12" ht="14.25" customHeight="1">
      <c r="B12" s="5">
        <v>2010.0</v>
      </c>
      <c r="C12" s="8">
        <v>183.0</v>
      </c>
      <c r="D12" s="8">
        <v>2.0</v>
      </c>
      <c r="E12" s="8">
        <v>204.0</v>
      </c>
      <c r="F12" s="8">
        <v>4.0</v>
      </c>
      <c r="G12" s="8">
        <v>200.0</v>
      </c>
      <c r="H12" s="8">
        <v>1.0</v>
      </c>
      <c r="I12" s="8">
        <v>143.0</v>
      </c>
      <c r="J12" s="8">
        <v>3.0</v>
      </c>
      <c r="K12" s="8">
        <v>87.0</v>
      </c>
      <c r="L12" s="8">
        <v>0.0</v>
      </c>
      <c r="M12" s="8">
        <v>46.0</v>
      </c>
      <c r="N12" s="8">
        <v>0.0</v>
      </c>
      <c r="O12" s="8">
        <v>31.0</v>
      </c>
      <c r="P12" s="8">
        <v>2.0</v>
      </c>
      <c r="Q12" s="8">
        <v>22.0</v>
      </c>
      <c r="R12" s="8">
        <v>0.0</v>
      </c>
      <c r="S12" s="8">
        <v>20.0</v>
      </c>
      <c r="T12" s="8">
        <v>0.0</v>
      </c>
      <c r="U12" s="8">
        <v>17.0</v>
      </c>
      <c r="V12" s="8">
        <v>0.0</v>
      </c>
      <c r="W12" s="8">
        <v>10.0</v>
      </c>
      <c r="X12" s="8">
        <v>1.0</v>
      </c>
      <c r="Y12" s="8">
        <v>11.0</v>
      </c>
      <c r="Z12" s="8">
        <v>0.0</v>
      </c>
      <c r="AA12" s="8">
        <f t="shared" ref="AA12:AB12" si="11">C12+E12+G12+I12+K12+M12+O12+Q12+S12+U12+W12+Y12</f>
        <v>974</v>
      </c>
      <c r="AB12" s="13">
        <f t="shared" si="11"/>
        <v>13</v>
      </c>
      <c r="AC12" s="14">
        <v>717544.0</v>
      </c>
      <c r="AD12" s="15">
        <f t="shared" si="3"/>
        <v>135.7408047</v>
      </c>
      <c r="AE12" s="16">
        <f t="shared" si="4"/>
        <v>1.334702259</v>
      </c>
    </row>
    <row r="13" ht="14.25" customHeight="1">
      <c r="B13" s="2">
        <v>2009.0</v>
      </c>
      <c r="C13" s="8">
        <v>36.0</v>
      </c>
      <c r="D13" s="8">
        <v>1.0</v>
      </c>
      <c r="E13" s="8">
        <v>30.0</v>
      </c>
      <c r="F13" s="8">
        <v>1.0</v>
      </c>
      <c r="G13" s="8">
        <v>33.0</v>
      </c>
      <c r="H13" s="8">
        <v>0.0</v>
      </c>
      <c r="I13" s="8">
        <v>18.0</v>
      </c>
      <c r="J13" s="8">
        <v>0.0</v>
      </c>
      <c r="K13" s="8">
        <v>16.0</v>
      </c>
      <c r="L13" s="8">
        <v>2.0</v>
      </c>
      <c r="M13" s="8">
        <v>14.0</v>
      </c>
      <c r="N13" s="8">
        <v>0.0</v>
      </c>
      <c r="O13" s="8">
        <v>16.0</v>
      </c>
      <c r="P13" s="8">
        <v>0.0</v>
      </c>
      <c r="Q13" s="8">
        <v>17.0</v>
      </c>
      <c r="R13" s="8">
        <v>0.0</v>
      </c>
      <c r="S13" s="8">
        <v>14.0</v>
      </c>
      <c r="T13" s="8">
        <v>0.0</v>
      </c>
      <c r="U13" s="8">
        <v>20.0</v>
      </c>
      <c r="V13" s="8">
        <v>0.0</v>
      </c>
      <c r="W13" s="8">
        <v>18.0</v>
      </c>
      <c r="X13" s="8">
        <v>0.0</v>
      </c>
      <c r="Y13" s="8">
        <v>38.0</v>
      </c>
      <c r="Z13" s="8">
        <v>1.0</v>
      </c>
      <c r="AA13" s="8">
        <f t="shared" ref="AA13:AB13" si="12">C13+E13+G13+I13+K13+M13+O13+Q13+S13+U13+W13+Y13</f>
        <v>270</v>
      </c>
      <c r="AB13" s="13">
        <f t="shared" si="12"/>
        <v>5</v>
      </c>
      <c r="AC13" s="14">
        <v>717544.0</v>
      </c>
      <c r="AD13" s="15">
        <f t="shared" si="3"/>
        <v>37.6283545</v>
      </c>
      <c r="AE13" s="16">
        <f t="shared" si="4"/>
        <v>1.851851852</v>
      </c>
    </row>
    <row r="14" ht="14.25" customHeight="1">
      <c r="B14" s="5">
        <v>2008.0</v>
      </c>
      <c r="C14" s="8">
        <v>40.0</v>
      </c>
      <c r="D14" s="8">
        <v>1.0</v>
      </c>
      <c r="E14" s="8">
        <v>44.0</v>
      </c>
      <c r="F14" s="8">
        <v>0.0</v>
      </c>
      <c r="G14" s="8">
        <v>28.0</v>
      </c>
      <c r="H14" s="8">
        <v>0.0</v>
      </c>
      <c r="I14" s="8">
        <v>28.0</v>
      </c>
      <c r="J14" s="8">
        <v>1.0</v>
      </c>
      <c r="K14" s="8">
        <v>17.0</v>
      </c>
      <c r="L14" s="8">
        <v>0.0</v>
      </c>
      <c r="M14" s="8">
        <v>13.0</v>
      </c>
      <c r="N14" s="8">
        <v>0.0</v>
      </c>
      <c r="O14" s="8">
        <v>3.0</v>
      </c>
      <c r="P14" s="8">
        <v>0.0</v>
      </c>
      <c r="Q14" s="8">
        <v>5.0</v>
      </c>
      <c r="R14" s="8">
        <v>0.0</v>
      </c>
      <c r="S14" s="8">
        <v>5.0</v>
      </c>
      <c r="T14" s="8">
        <v>1.0</v>
      </c>
      <c r="U14" s="8">
        <v>5.0</v>
      </c>
      <c r="V14" s="8">
        <v>0.0</v>
      </c>
      <c r="W14" s="8">
        <v>10.0</v>
      </c>
      <c r="X14" s="8">
        <v>0.0</v>
      </c>
      <c r="Y14" s="8">
        <v>35.0</v>
      </c>
      <c r="Z14" s="8">
        <v>0.0</v>
      </c>
      <c r="AA14" s="8">
        <f t="shared" ref="AA14:AB14" si="13">C14+E14+G14+I14+K14+M14+O14+Q14+S14+U14+W14+Y14</f>
        <v>233</v>
      </c>
      <c r="AB14" s="13">
        <f t="shared" si="13"/>
        <v>3</v>
      </c>
      <c r="AC14" s="14">
        <v>724298.0</v>
      </c>
      <c r="AD14" s="15">
        <f t="shared" si="3"/>
        <v>32.16907958</v>
      </c>
      <c r="AE14" s="16">
        <f t="shared" si="4"/>
        <v>1.287553648</v>
      </c>
    </row>
    <row r="15" ht="14.25" customHeight="1">
      <c r="B15" s="2">
        <v>2007.0</v>
      </c>
      <c r="C15" s="8">
        <v>25.0</v>
      </c>
      <c r="D15" s="8">
        <v>0.0</v>
      </c>
      <c r="E15" s="8">
        <v>41.0</v>
      </c>
      <c r="F15" s="8">
        <v>1.0</v>
      </c>
      <c r="G15" s="8">
        <v>61.0</v>
      </c>
      <c r="H15" s="8">
        <v>0.0</v>
      </c>
      <c r="I15" s="8">
        <v>49.0</v>
      </c>
      <c r="J15" s="8">
        <v>0.0</v>
      </c>
      <c r="K15" s="8">
        <v>37.0</v>
      </c>
      <c r="L15" s="8">
        <v>0.0</v>
      </c>
      <c r="M15" s="8">
        <v>15.0</v>
      </c>
      <c r="N15" s="8">
        <v>0.0</v>
      </c>
      <c r="O15" s="8">
        <v>28.0</v>
      </c>
      <c r="P15" s="8">
        <v>0.0</v>
      </c>
      <c r="Q15" s="8">
        <v>13.0</v>
      </c>
      <c r="R15" s="8">
        <v>0.0</v>
      </c>
      <c r="S15" s="8">
        <v>7.0</v>
      </c>
      <c r="T15" s="8">
        <v>0.0</v>
      </c>
      <c r="U15" s="8">
        <v>12.0</v>
      </c>
      <c r="V15" s="8">
        <v>0.0</v>
      </c>
      <c r="W15" s="8">
        <v>16.0</v>
      </c>
      <c r="X15" s="8">
        <v>0.0</v>
      </c>
      <c r="Y15" s="8">
        <v>23.0</v>
      </c>
      <c r="Z15" s="8">
        <v>0.0</v>
      </c>
      <c r="AA15" s="8">
        <f t="shared" ref="AA15:AB15" si="14">C15+E15+G15+I15+K15+M15+O15+Q15+S15+U15+W15+Y15</f>
        <v>327</v>
      </c>
      <c r="AB15" s="13">
        <f t="shared" si="14"/>
        <v>1</v>
      </c>
      <c r="AC15" s="14">
        <v>746457.0</v>
      </c>
      <c r="AD15" s="15">
        <f t="shared" si="3"/>
        <v>43.806944</v>
      </c>
      <c r="AE15" s="16">
        <f t="shared" si="4"/>
        <v>0.3058103976</v>
      </c>
    </row>
    <row r="16" ht="14.25" customHeight="1">
      <c r="B16" s="5">
        <v>2006.0</v>
      </c>
      <c r="C16" s="8">
        <v>41.0</v>
      </c>
      <c r="D16" s="8">
        <v>1.0</v>
      </c>
      <c r="E16" s="8">
        <v>27.0</v>
      </c>
      <c r="F16" s="8">
        <v>0.0</v>
      </c>
      <c r="G16" s="8">
        <v>16.0</v>
      </c>
      <c r="H16" s="8">
        <v>0.0</v>
      </c>
      <c r="I16" s="8">
        <v>3.0</v>
      </c>
      <c r="J16" s="8">
        <v>0.0</v>
      </c>
      <c r="K16" s="8">
        <v>4.0</v>
      </c>
      <c r="L16" s="8">
        <v>0.0</v>
      </c>
      <c r="M16" s="8">
        <v>2.0</v>
      </c>
      <c r="N16" s="8">
        <v>0.0</v>
      </c>
      <c r="O16" s="8">
        <v>3.0</v>
      </c>
      <c r="P16" s="8">
        <v>0.0</v>
      </c>
      <c r="Q16" s="8">
        <v>0.0</v>
      </c>
      <c r="R16" s="8">
        <v>0.0</v>
      </c>
      <c r="S16" s="8">
        <v>3.0</v>
      </c>
      <c r="T16" s="8">
        <v>0.0</v>
      </c>
      <c r="U16" s="8">
        <v>3.0</v>
      </c>
      <c r="V16" s="8">
        <v>0.0</v>
      </c>
      <c r="W16" s="8">
        <v>3.0</v>
      </c>
      <c r="X16" s="8">
        <v>0.0</v>
      </c>
      <c r="Y16" s="8">
        <v>2.0</v>
      </c>
      <c r="Z16" s="8">
        <v>0.0</v>
      </c>
      <c r="AA16" s="8">
        <f t="shared" ref="AA16:AB16" si="15">C16+E16+G16+I16+K16+M16+O16+Q16+S16+U16+W16+Y16</f>
        <v>107</v>
      </c>
      <c r="AB16" s="13">
        <f t="shared" si="15"/>
        <v>1</v>
      </c>
      <c r="AC16" s="14">
        <v>746457.0</v>
      </c>
      <c r="AD16" s="15">
        <f t="shared" si="3"/>
        <v>14.33438229</v>
      </c>
      <c r="AE16" s="16">
        <f t="shared" si="4"/>
        <v>0.9345794393</v>
      </c>
    </row>
    <row r="17" ht="14.25" customHeight="1">
      <c r="B17" s="1"/>
    </row>
    <row r="18" ht="14.25" customHeight="1">
      <c r="B18" s="1"/>
    </row>
    <row r="19" ht="14.25" customHeight="1">
      <c r="B19" s="1"/>
    </row>
    <row r="20" ht="14.25" customHeight="1">
      <c r="B20" s="1"/>
    </row>
    <row r="21" ht="14.25" customHeight="1">
      <c r="B21" s="1"/>
    </row>
    <row r="22" ht="14.25" customHeight="1">
      <c r="B22" s="1"/>
    </row>
    <row r="23" ht="14.25" customHeight="1">
      <c r="B23" s="1"/>
    </row>
    <row r="24" ht="14.25" customHeight="1">
      <c r="B24" s="1"/>
    </row>
    <row r="25" ht="14.25" customHeight="1">
      <c r="B25" s="1"/>
    </row>
    <row r="26" ht="14.25" customHeight="1">
      <c r="B26" s="1"/>
    </row>
    <row r="27" ht="14.25" customHeight="1">
      <c r="B27" s="1"/>
    </row>
    <row r="28" ht="14.25" customHeight="1">
      <c r="B28" s="1"/>
    </row>
    <row r="29" ht="14.25" customHeight="1">
      <c r="B29" s="1"/>
    </row>
    <row r="30" ht="14.25" customHeight="1">
      <c r="B30" s="1"/>
    </row>
    <row r="31" ht="14.25" customHeight="1">
      <c r="B31" s="1"/>
    </row>
    <row r="32" ht="14.25" customHeight="1">
      <c r="B32" s="1"/>
    </row>
    <row r="33" ht="14.25" customHeight="1">
      <c r="B33" s="1"/>
    </row>
    <row r="34" ht="14.25" customHeight="1">
      <c r="B34" s="1"/>
    </row>
    <row r="35" ht="14.25" customHeight="1">
      <c r="B35" s="1"/>
    </row>
    <row r="36" ht="14.25" customHeight="1">
      <c r="B36" s="1"/>
    </row>
    <row r="37" ht="14.25" customHeight="1">
      <c r="B37" s="1"/>
    </row>
    <row r="38" ht="14.25" customHeight="1">
      <c r="B38" s="1"/>
    </row>
    <row r="39" ht="14.25" customHeight="1">
      <c r="B39" s="1"/>
    </row>
    <row r="40" ht="14.25" customHeight="1">
      <c r="B40" s="1"/>
    </row>
    <row r="41" ht="14.25" customHeight="1">
      <c r="B41" s="1"/>
    </row>
    <row r="42" ht="14.25" customHeight="1">
      <c r="B42" s="1"/>
    </row>
    <row r="43" ht="14.25" customHeight="1">
      <c r="B43" s="1"/>
    </row>
    <row r="44" ht="14.25" customHeight="1">
      <c r="B44" s="1"/>
    </row>
    <row r="45" ht="14.25" customHeight="1">
      <c r="B45" s="1"/>
    </row>
    <row r="46" ht="14.25" customHeight="1">
      <c r="B46" s="1"/>
    </row>
    <row r="47" ht="14.25" customHeight="1">
      <c r="B47" s="1"/>
    </row>
    <row r="48" ht="14.25" customHeight="1">
      <c r="B48" s="1"/>
    </row>
    <row r="49" ht="14.25" customHeight="1">
      <c r="B49" s="1"/>
    </row>
    <row r="50" ht="14.25" customHeight="1">
      <c r="B50" s="1"/>
    </row>
    <row r="51" ht="14.25" customHeight="1">
      <c r="B51" s="1"/>
    </row>
    <row r="52" ht="14.25" customHeight="1">
      <c r="B52" s="1"/>
    </row>
    <row r="53" ht="14.25" customHeight="1">
      <c r="B53" s="1"/>
    </row>
    <row r="54" ht="14.25" customHeight="1">
      <c r="B54" s="1"/>
    </row>
    <row r="55" ht="14.25" customHeight="1">
      <c r="B55" s="1"/>
    </row>
    <row r="56" ht="14.25" customHeight="1">
      <c r="B56" s="1"/>
    </row>
    <row r="57" ht="14.25" customHeight="1">
      <c r="B57" s="1"/>
    </row>
    <row r="58" ht="14.25" customHeight="1">
      <c r="B58" s="1"/>
    </row>
    <row r="59" ht="14.25" customHeight="1">
      <c r="B59" s="1"/>
    </row>
    <row r="60" ht="14.25" customHeight="1">
      <c r="B60" s="1"/>
    </row>
    <row r="61" ht="14.25" customHeight="1">
      <c r="B61" s="1"/>
    </row>
    <row r="62" ht="14.25" customHeight="1">
      <c r="B62" s="1"/>
    </row>
    <row r="63" ht="14.25" customHeight="1">
      <c r="B63" s="1"/>
    </row>
    <row r="64" ht="14.25" customHeight="1">
      <c r="B64" s="1"/>
    </row>
    <row r="65" ht="14.25" customHeight="1">
      <c r="B65" s="1"/>
    </row>
    <row r="66" ht="14.25" customHeight="1">
      <c r="B66" s="1"/>
    </row>
    <row r="67" ht="14.25" customHeight="1">
      <c r="B67" s="1"/>
    </row>
    <row r="68" ht="14.25" customHeight="1">
      <c r="B68" s="1"/>
    </row>
    <row r="69" ht="14.25" customHeight="1">
      <c r="B69" s="1"/>
    </row>
    <row r="70" ht="14.25" customHeight="1">
      <c r="B70" s="1"/>
    </row>
    <row r="71" ht="14.25" customHeight="1">
      <c r="B71" s="1"/>
    </row>
    <row r="72" ht="14.25" customHeight="1">
      <c r="B72" s="1"/>
    </row>
    <row r="73" ht="14.25" customHeight="1">
      <c r="B73" s="1"/>
    </row>
    <row r="74" ht="14.25" customHeight="1">
      <c r="B74" s="1"/>
    </row>
    <row r="75" ht="14.25" customHeight="1">
      <c r="B75" s="1"/>
    </row>
    <row r="76" ht="14.25" customHeight="1">
      <c r="B76" s="1"/>
    </row>
    <row r="77" ht="14.25" customHeight="1">
      <c r="B77" s="1"/>
    </row>
    <row r="78" ht="14.25" customHeight="1">
      <c r="B78" s="1"/>
    </row>
    <row r="79" ht="14.25" customHeight="1">
      <c r="B79" s="1"/>
    </row>
    <row r="80" ht="14.25" customHeight="1">
      <c r="B80" s="1"/>
    </row>
    <row r="81" ht="14.25" customHeight="1">
      <c r="B81" s="1"/>
    </row>
    <row r="82" ht="14.25" customHeight="1">
      <c r="B82" s="1"/>
    </row>
    <row r="83" ht="14.25" customHeight="1">
      <c r="B83" s="1"/>
    </row>
    <row r="84" ht="14.25" customHeight="1">
      <c r="B84" s="1"/>
    </row>
    <row r="85" ht="14.25" customHeight="1">
      <c r="B85" s="1"/>
    </row>
    <row r="86" ht="14.25" customHeight="1">
      <c r="B86" s="1"/>
    </row>
    <row r="87" ht="14.25" customHeight="1">
      <c r="B87" s="1"/>
    </row>
    <row r="88" ht="14.25" customHeight="1">
      <c r="B88" s="1"/>
    </row>
    <row r="89" ht="14.25" customHeight="1">
      <c r="B89" s="1"/>
    </row>
    <row r="90" ht="14.25" customHeight="1">
      <c r="B90" s="1"/>
    </row>
    <row r="91" ht="14.25" customHeight="1">
      <c r="B91" s="1"/>
    </row>
    <row r="92" ht="14.25" customHeight="1">
      <c r="B92" s="1"/>
    </row>
    <row r="93" ht="14.25" customHeight="1">
      <c r="B93" s="1"/>
    </row>
    <row r="94" ht="14.25" customHeight="1">
      <c r="B94" s="1"/>
    </row>
    <row r="95" ht="14.25" customHeight="1">
      <c r="B95" s="1"/>
    </row>
    <row r="96" ht="14.25" customHeight="1">
      <c r="B96" s="1"/>
    </row>
    <row r="97" ht="14.25" customHeight="1">
      <c r="B97" s="1"/>
    </row>
    <row r="98" ht="14.25" customHeight="1">
      <c r="B98" s="1"/>
    </row>
    <row r="99" ht="14.25" customHeight="1">
      <c r="B99" s="1"/>
    </row>
    <row r="100" ht="14.25" customHeight="1">
      <c r="B100" s="1"/>
    </row>
    <row r="101" ht="14.25" customHeight="1">
      <c r="B101" s="1"/>
    </row>
    <row r="102" ht="14.25" customHeight="1">
      <c r="B102" s="1"/>
    </row>
    <row r="103" ht="14.25" customHeight="1">
      <c r="B103" s="1"/>
    </row>
    <row r="104" ht="14.25" customHeight="1">
      <c r="B104" s="1"/>
    </row>
    <row r="105" ht="14.25" customHeight="1">
      <c r="B105" s="1"/>
    </row>
    <row r="106" ht="14.25" customHeight="1">
      <c r="B106" s="1"/>
    </row>
    <row r="107" ht="14.25" customHeight="1">
      <c r="B107" s="1"/>
    </row>
    <row r="108" ht="14.25" customHeight="1">
      <c r="B108" s="1"/>
    </row>
    <row r="109" ht="14.25" customHeight="1">
      <c r="B109" s="1"/>
    </row>
    <row r="110" ht="14.25" customHeight="1">
      <c r="B110" s="1"/>
    </row>
    <row r="111" ht="14.25" customHeight="1">
      <c r="B111" s="1"/>
    </row>
    <row r="112" ht="14.25" customHeight="1">
      <c r="B112" s="1"/>
    </row>
    <row r="113" ht="14.25" customHeight="1">
      <c r="B113" s="1"/>
    </row>
    <row r="114" ht="14.25" customHeight="1">
      <c r="B114" s="1"/>
    </row>
    <row r="115" ht="14.25" customHeight="1">
      <c r="B115" s="1"/>
    </row>
    <row r="116" ht="14.25" customHeight="1">
      <c r="B116" s="1"/>
    </row>
    <row r="117" ht="14.25" customHeight="1">
      <c r="B117" s="1"/>
    </row>
    <row r="118" ht="14.25" customHeight="1">
      <c r="B118" s="1"/>
    </row>
    <row r="119" ht="14.25" customHeight="1">
      <c r="B119" s="1"/>
    </row>
    <row r="120" ht="14.25" customHeight="1">
      <c r="B120" s="1"/>
    </row>
    <row r="121" ht="14.25" customHeight="1">
      <c r="B121" s="1"/>
    </row>
    <row r="122" ht="14.25" customHeight="1">
      <c r="B122" s="1"/>
    </row>
    <row r="123" ht="14.25" customHeight="1">
      <c r="B123" s="1"/>
    </row>
    <row r="124" ht="14.25" customHeight="1">
      <c r="B124" s="1"/>
    </row>
    <row r="125" ht="14.25" customHeight="1">
      <c r="B125" s="1"/>
    </row>
    <row r="126" ht="14.25" customHeight="1">
      <c r="B126" s="1"/>
    </row>
    <row r="127" ht="14.25" customHeight="1">
      <c r="B127" s="1"/>
    </row>
    <row r="128" ht="14.25" customHeight="1">
      <c r="B128" s="1"/>
    </row>
    <row r="129" ht="14.25" customHeight="1">
      <c r="B129" s="1"/>
    </row>
    <row r="130" ht="14.25" customHeight="1">
      <c r="B130" s="1"/>
    </row>
    <row r="131" ht="14.25" customHeight="1">
      <c r="B131" s="1"/>
    </row>
    <row r="132" ht="14.25" customHeight="1">
      <c r="B132" s="1"/>
    </row>
    <row r="133" ht="14.25" customHeight="1">
      <c r="B133" s="1"/>
    </row>
    <row r="134" ht="14.25" customHeight="1">
      <c r="B134" s="1"/>
    </row>
    <row r="135" ht="14.25" customHeight="1">
      <c r="B135" s="1"/>
    </row>
    <row r="136" ht="14.25" customHeight="1">
      <c r="B136" s="1"/>
    </row>
    <row r="137" ht="14.25" customHeight="1">
      <c r="B137" s="1"/>
    </row>
    <row r="138" ht="14.25" customHeight="1">
      <c r="B138" s="1"/>
    </row>
    <row r="139" ht="14.25" customHeight="1">
      <c r="B139" s="1"/>
    </row>
    <row r="140" ht="14.25" customHeight="1">
      <c r="B140" s="1"/>
    </row>
    <row r="141" ht="14.25" customHeight="1">
      <c r="B141" s="1"/>
    </row>
    <row r="142" ht="14.25" customHeight="1">
      <c r="B142" s="1"/>
    </row>
    <row r="143" ht="14.25" customHeight="1">
      <c r="B143" s="1"/>
    </row>
    <row r="144" ht="14.25" customHeight="1">
      <c r="B144" s="1"/>
    </row>
    <row r="145" ht="14.25" customHeight="1">
      <c r="B145" s="1"/>
    </row>
    <row r="146" ht="14.25" customHeight="1">
      <c r="B146" s="1"/>
    </row>
    <row r="147" ht="14.25" customHeight="1">
      <c r="B147" s="1"/>
    </row>
    <row r="148" ht="14.25" customHeight="1">
      <c r="B148" s="1"/>
    </row>
    <row r="149" ht="14.25" customHeight="1">
      <c r="B149" s="1"/>
    </row>
    <row r="150" ht="14.25" customHeight="1">
      <c r="B150" s="1"/>
    </row>
    <row r="151" ht="14.25" customHeight="1">
      <c r="B151" s="1"/>
    </row>
    <row r="152" ht="14.25" customHeight="1">
      <c r="B152" s="1"/>
    </row>
    <row r="153" ht="14.25" customHeight="1">
      <c r="B153" s="1"/>
    </row>
    <row r="154" ht="14.25" customHeight="1">
      <c r="B154" s="1"/>
    </row>
    <row r="155" ht="14.25" customHeight="1">
      <c r="B155" s="1"/>
    </row>
    <row r="156" ht="14.25" customHeight="1">
      <c r="B156" s="1"/>
    </row>
    <row r="157" ht="14.25" customHeight="1">
      <c r="B157" s="1"/>
    </row>
    <row r="158" ht="14.25" customHeight="1">
      <c r="B158" s="1"/>
    </row>
    <row r="159" ht="14.25" customHeight="1">
      <c r="B159" s="1"/>
    </row>
    <row r="160" ht="14.25" customHeight="1">
      <c r="B160" s="1"/>
    </row>
    <row r="161" ht="14.25" customHeight="1">
      <c r="B161" s="1"/>
    </row>
    <row r="162" ht="14.25" customHeight="1">
      <c r="B162" s="1"/>
    </row>
    <row r="163" ht="14.25" customHeight="1">
      <c r="B163" s="1"/>
    </row>
    <row r="164" ht="14.25" customHeight="1">
      <c r="B164" s="1"/>
    </row>
    <row r="165" ht="14.25" customHeight="1">
      <c r="B165" s="1"/>
    </row>
    <row r="166" ht="14.25" customHeight="1">
      <c r="B166" s="1"/>
    </row>
    <row r="167" ht="14.25" customHeight="1">
      <c r="B167" s="1"/>
    </row>
    <row r="168" ht="14.25" customHeight="1">
      <c r="B168" s="1"/>
    </row>
    <row r="169" ht="14.25" customHeight="1">
      <c r="B169" s="1"/>
    </row>
    <row r="170" ht="14.25" customHeight="1">
      <c r="B170" s="1"/>
    </row>
    <row r="171" ht="14.25" customHeight="1">
      <c r="B171" s="1"/>
    </row>
    <row r="172" ht="14.25" customHeight="1">
      <c r="B172" s="1"/>
    </row>
    <row r="173" ht="14.25" customHeight="1">
      <c r="B173" s="1"/>
    </row>
    <row r="174" ht="14.25" customHeight="1">
      <c r="B174" s="1"/>
    </row>
    <row r="175" ht="14.25" customHeight="1">
      <c r="B175" s="1"/>
    </row>
    <row r="176" ht="14.25" customHeight="1">
      <c r="B176" s="1"/>
    </row>
    <row r="177" ht="14.25" customHeight="1">
      <c r="B177" s="1"/>
    </row>
    <row r="178" ht="14.25" customHeight="1">
      <c r="B178" s="1"/>
    </row>
    <row r="179" ht="14.25" customHeight="1">
      <c r="B179" s="1"/>
    </row>
    <row r="180" ht="14.25" customHeight="1">
      <c r="B180" s="1"/>
    </row>
    <row r="181" ht="14.25" customHeight="1">
      <c r="B181" s="1"/>
    </row>
    <row r="182" ht="14.25" customHeight="1">
      <c r="B182" s="1"/>
    </row>
    <row r="183" ht="14.25" customHeight="1">
      <c r="B183" s="1"/>
    </row>
    <row r="184" ht="14.25" customHeight="1">
      <c r="B184" s="1"/>
    </row>
    <row r="185" ht="14.25" customHeight="1">
      <c r="B185" s="1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</sheetData>
  <mergeCells count="8">
    <mergeCell ref="C2:D2"/>
    <mergeCell ref="E2:F2"/>
    <mergeCell ref="G2:H2"/>
    <mergeCell ref="K2:L2"/>
    <mergeCell ref="U2:V2"/>
    <mergeCell ref="W2:X2"/>
    <mergeCell ref="Y2:Z2"/>
    <mergeCell ref="AA2:AB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1.0"/>
    <col customWidth="1" min="3" max="3" width="22.57"/>
    <col customWidth="1" min="4" max="4" width="19.86"/>
    <col customWidth="1" min="5" max="5" width="18.29"/>
    <col customWidth="1" min="6" max="6" width="15.71"/>
    <col customWidth="1" min="7" max="25" width="11.57"/>
  </cols>
  <sheetData>
    <row r="1" ht="14.25" customHeight="1">
      <c r="A1" s="18" t="s">
        <v>19</v>
      </c>
      <c r="B1" s="19" t="s">
        <v>20</v>
      </c>
      <c r="C1" s="20" t="s">
        <v>21</v>
      </c>
      <c r="D1" s="20" t="s">
        <v>22</v>
      </c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ht="14.25" customHeight="1">
      <c r="A2" s="23">
        <v>39814.0</v>
      </c>
      <c r="B2" s="24">
        <v>226.17</v>
      </c>
      <c r="C2" s="25">
        <v>13.0</v>
      </c>
      <c r="D2" s="25">
        <v>36.0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14.25" customHeight="1">
      <c r="A3" s="23">
        <v>39845.0</v>
      </c>
      <c r="B3" s="24">
        <v>265.11</v>
      </c>
      <c r="C3" s="25">
        <v>14.0</v>
      </c>
      <c r="D3" s="25">
        <v>30.0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ht="14.25" customHeight="1">
      <c r="A4" s="23">
        <v>39873.0</v>
      </c>
      <c r="B4" s="24">
        <v>125.17</v>
      </c>
      <c r="C4" s="25">
        <v>7.0</v>
      </c>
      <c r="D4" s="25">
        <v>33.0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14.25" customHeight="1">
      <c r="A5" s="23">
        <v>39904.0</v>
      </c>
      <c r="B5" s="24">
        <v>126.67</v>
      </c>
      <c r="C5" s="25">
        <v>6.0</v>
      </c>
      <c r="D5" s="25">
        <v>18.0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14.25" customHeight="1">
      <c r="A6" s="23">
        <v>39934.0</v>
      </c>
      <c r="B6" s="24">
        <v>109.67</v>
      </c>
      <c r="C6" s="25">
        <v>6.0</v>
      </c>
      <c r="D6" s="25">
        <v>16.0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14.25" customHeight="1">
      <c r="A7" s="23">
        <v>39965.0</v>
      </c>
      <c r="B7" s="24">
        <v>36.67</v>
      </c>
      <c r="C7" s="25">
        <v>2.0</v>
      </c>
      <c r="D7" s="25">
        <v>14.0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ht="14.25" customHeight="1">
      <c r="A8" s="23">
        <v>39995.0</v>
      </c>
      <c r="B8" s="24">
        <v>1.72</v>
      </c>
      <c r="C8" s="25">
        <v>1.0</v>
      </c>
      <c r="D8" s="25">
        <v>16.0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14.25" customHeight="1">
      <c r="A9" s="23">
        <v>40026.0</v>
      </c>
      <c r="B9" s="24">
        <v>0.5</v>
      </c>
      <c r="C9" s="25">
        <v>0.0</v>
      </c>
      <c r="D9" s="25">
        <v>17.0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ht="14.25" customHeight="1">
      <c r="A10" s="23">
        <v>40057.0</v>
      </c>
      <c r="B10" s="24">
        <v>0.0</v>
      </c>
      <c r="C10" s="25">
        <v>0.0</v>
      </c>
      <c r="D10" s="25">
        <v>14.0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t="14.25" customHeight="1">
      <c r="A11" s="23">
        <v>40087.0</v>
      </c>
      <c r="B11" s="24">
        <v>56.19</v>
      </c>
      <c r="C11" s="25">
        <v>3.0</v>
      </c>
      <c r="D11" s="25">
        <v>20.0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14.25" customHeight="1">
      <c r="A12" s="23">
        <v>40118.0</v>
      </c>
      <c r="B12" s="24">
        <v>101.38</v>
      </c>
      <c r="C12" s="25">
        <v>6.0</v>
      </c>
      <c r="D12" s="25">
        <v>18.0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14.25" customHeight="1">
      <c r="A13" s="23">
        <v>40148.0</v>
      </c>
      <c r="B13" s="24">
        <v>126.31</v>
      </c>
      <c r="C13" s="25">
        <v>7.0</v>
      </c>
      <c r="D13" s="25">
        <v>38.0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ht="14.25" customHeight="1">
      <c r="A14" s="23">
        <v>40179.0</v>
      </c>
      <c r="B14" s="26">
        <v>213.81</v>
      </c>
      <c r="C14" s="25">
        <v>13.0</v>
      </c>
      <c r="D14" s="25">
        <v>183.0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14.25" customHeight="1">
      <c r="A15" s="23">
        <v>40210.0</v>
      </c>
      <c r="B15" s="26">
        <v>212.36</v>
      </c>
      <c r="C15" s="25">
        <v>12.0</v>
      </c>
      <c r="D15" s="25">
        <v>204.0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14.25" customHeight="1">
      <c r="A16" s="23">
        <v>40238.0</v>
      </c>
      <c r="B16" s="26">
        <v>187.81</v>
      </c>
      <c r="C16" s="25">
        <v>11.0</v>
      </c>
      <c r="D16" s="25">
        <v>200.0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ht="14.25" customHeight="1">
      <c r="A17" s="23">
        <v>40269.0</v>
      </c>
      <c r="B17" s="26">
        <v>213.09</v>
      </c>
      <c r="C17" s="25">
        <v>10.0</v>
      </c>
      <c r="D17" s="25">
        <v>143.0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ht="14.25" customHeight="1">
      <c r="A18" s="23">
        <v>40299.0</v>
      </c>
      <c r="B18" s="26">
        <v>264.64</v>
      </c>
      <c r="C18" s="25">
        <v>12.0</v>
      </c>
      <c r="D18" s="25">
        <v>87.0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ht="14.25" customHeight="1">
      <c r="A19" s="23">
        <v>40330.0</v>
      </c>
      <c r="B19" s="26">
        <v>86.64</v>
      </c>
      <c r="C19" s="25">
        <v>5.0</v>
      </c>
      <c r="D19" s="25">
        <v>46.0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ht="14.25" customHeight="1">
      <c r="A20" s="23">
        <v>40360.0</v>
      </c>
      <c r="B20" s="26">
        <v>63.22</v>
      </c>
      <c r="C20" s="25">
        <v>5.0</v>
      </c>
      <c r="D20" s="25">
        <v>31.0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ht="14.25" customHeight="1">
      <c r="A21" s="23">
        <v>40391.0</v>
      </c>
      <c r="B21" s="26">
        <v>58.1</v>
      </c>
      <c r="C21" s="25">
        <v>4.0</v>
      </c>
      <c r="D21" s="25">
        <v>22.0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ht="14.25" customHeight="1">
      <c r="A22" s="23">
        <v>40422.0</v>
      </c>
      <c r="B22" s="26">
        <v>316.83</v>
      </c>
      <c r="C22" s="25">
        <v>14.0</v>
      </c>
      <c r="D22" s="25">
        <v>20.0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ht="14.25" customHeight="1">
      <c r="A23" s="23">
        <v>40452.0</v>
      </c>
      <c r="B23" s="26">
        <v>168.63</v>
      </c>
      <c r="C23" s="25">
        <v>12.0</v>
      </c>
      <c r="D23" s="25">
        <v>17.0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ht="14.25" customHeight="1">
      <c r="A24" s="23">
        <v>40483.0</v>
      </c>
      <c r="B24" s="26">
        <v>201.83</v>
      </c>
      <c r="C24" s="25">
        <v>12.0</v>
      </c>
      <c r="D24" s="25">
        <v>10.0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ht="14.25" customHeight="1">
      <c r="A25" s="23">
        <v>40513.0</v>
      </c>
      <c r="B25" s="26">
        <v>308.83</v>
      </c>
      <c r="C25" s="25">
        <v>16.0</v>
      </c>
      <c r="D25" s="25">
        <v>11.0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ht="14.25" customHeight="1">
      <c r="A26" s="23">
        <v>40544.0</v>
      </c>
      <c r="B26" s="24">
        <v>357.06</v>
      </c>
      <c r="C26" s="25">
        <v>19.0</v>
      </c>
      <c r="D26" s="25">
        <v>22.0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ht="14.25" customHeight="1">
      <c r="A27" s="23">
        <v>40575.0</v>
      </c>
      <c r="B27" s="24">
        <v>408.33</v>
      </c>
      <c r="C27" s="25">
        <v>18.0</v>
      </c>
      <c r="D27" s="25">
        <v>8.0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ht="14.25" customHeight="1">
      <c r="A28" s="23">
        <v>40603.0</v>
      </c>
      <c r="B28" s="24">
        <v>325.81</v>
      </c>
      <c r="C28" s="25">
        <v>19.0</v>
      </c>
      <c r="D28" s="25">
        <v>9.0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ht="14.25" customHeight="1">
      <c r="A29" s="23">
        <v>40634.0</v>
      </c>
      <c r="B29" s="24">
        <v>241.24</v>
      </c>
      <c r="C29" s="25">
        <v>14.0</v>
      </c>
      <c r="D29" s="25">
        <v>1.0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ht="14.25" customHeight="1">
      <c r="A30" s="23">
        <v>40664.0</v>
      </c>
      <c r="B30" s="24">
        <v>134.2</v>
      </c>
      <c r="C30" s="25">
        <v>8.0</v>
      </c>
      <c r="D30" s="25">
        <v>2.0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ht="14.25" customHeight="1">
      <c r="A31" s="23">
        <v>40695.0</v>
      </c>
      <c r="B31" s="24">
        <v>0.0</v>
      </c>
      <c r="C31" s="25">
        <v>0.0</v>
      </c>
      <c r="D31" s="25">
        <v>1.0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ht="14.25" customHeight="1">
      <c r="A32" s="23">
        <v>40725.0</v>
      </c>
      <c r="B32" s="24">
        <v>0.0</v>
      </c>
      <c r="C32" s="25">
        <v>0.0</v>
      </c>
      <c r="D32" s="25">
        <v>1.0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ht="14.25" customHeight="1">
      <c r="A33" s="23">
        <v>40756.0</v>
      </c>
      <c r="B33" s="24">
        <v>0.0</v>
      </c>
      <c r="C33" s="25">
        <v>0.0</v>
      </c>
      <c r="D33" s="25">
        <v>1.0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ht="14.25" customHeight="1">
      <c r="A34" s="23">
        <v>40787.0</v>
      </c>
      <c r="B34" s="24">
        <v>0.0</v>
      </c>
      <c r="C34" s="25">
        <v>0.0</v>
      </c>
      <c r="D34" s="25">
        <v>0.0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ht="14.25" customHeight="1">
      <c r="A35" s="23">
        <v>40817.0</v>
      </c>
      <c r="B35" s="24">
        <v>43.17</v>
      </c>
      <c r="C35" s="25">
        <v>2.0</v>
      </c>
      <c r="D35" s="25">
        <v>1.0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ht="14.25" customHeight="1">
      <c r="A36" s="23">
        <v>40848.0</v>
      </c>
      <c r="B36" s="24">
        <v>256.78</v>
      </c>
      <c r="C36" s="25">
        <v>13.0</v>
      </c>
      <c r="D36" s="25">
        <v>1.0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ht="14.25" customHeight="1">
      <c r="A37" s="23">
        <v>40878.0</v>
      </c>
      <c r="B37" s="24">
        <v>389.39</v>
      </c>
      <c r="C37" s="25">
        <v>16.0</v>
      </c>
      <c r="D37" s="25">
        <v>3.0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ht="14.25" customHeight="1">
      <c r="A38" s="23">
        <v>40909.0</v>
      </c>
      <c r="B38" s="24">
        <v>442.78</v>
      </c>
      <c r="C38" s="25">
        <v>20.0</v>
      </c>
      <c r="D38" s="25">
        <v>10.0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ht="14.25" customHeight="1">
      <c r="A39" s="23">
        <v>40940.0</v>
      </c>
      <c r="B39" s="24">
        <v>322.39</v>
      </c>
      <c r="C39" s="25">
        <v>12.0</v>
      </c>
      <c r="D39" s="25">
        <v>3.0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ht="14.25" customHeight="1">
      <c r="A40" s="23">
        <v>40969.0</v>
      </c>
      <c r="B40" s="24">
        <v>397.5</v>
      </c>
      <c r="C40" s="25">
        <v>13.0</v>
      </c>
      <c r="D40" s="25">
        <v>3.0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ht="14.25" customHeight="1">
      <c r="A41" s="23">
        <v>41000.0</v>
      </c>
      <c r="B41" s="24">
        <v>158.5</v>
      </c>
      <c r="C41" s="25">
        <v>7.0</v>
      </c>
      <c r="D41" s="25">
        <v>2.0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ht="14.25" customHeight="1">
      <c r="A42" s="23">
        <v>41030.0</v>
      </c>
      <c r="B42" s="24">
        <v>73.11</v>
      </c>
      <c r="C42" s="25">
        <v>4.0</v>
      </c>
      <c r="D42" s="25">
        <v>0.0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ht="14.25" customHeight="1">
      <c r="A43" s="23">
        <v>41061.0</v>
      </c>
      <c r="B43" s="24">
        <v>0.92</v>
      </c>
      <c r="C43" s="25">
        <v>0.0</v>
      </c>
      <c r="D43" s="25">
        <v>5.0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ht="14.25" customHeight="1">
      <c r="A44" s="23">
        <v>41091.0</v>
      </c>
      <c r="B44" s="24">
        <v>0.0</v>
      </c>
      <c r="C44" s="25">
        <v>0.0</v>
      </c>
      <c r="D44" s="25">
        <v>8.0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ht="14.25" customHeight="1">
      <c r="A45" s="23">
        <v>41122.0</v>
      </c>
      <c r="B45" s="24">
        <v>0.0</v>
      </c>
      <c r="C45" s="25">
        <v>0.0</v>
      </c>
      <c r="D45" s="25">
        <v>4.0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ht="14.25" customHeight="1">
      <c r="A46" s="23">
        <v>41153.0</v>
      </c>
      <c r="B46" s="24">
        <v>0.0</v>
      </c>
      <c r="C46" s="25">
        <v>0.0</v>
      </c>
      <c r="D46" s="25">
        <v>1.0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ht="14.25" customHeight="1">
      <c r="A47" s="23">
        <v>41183.0</v>
      </c>
      <c r="B47" s="24">
        <v>78.44</v>
      </c>
      <c r="C47" s="25">
        <v>4.0</v>
      </c>
      <c r="D47" s="25">
        <v>9.0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ht="14.25" customHeight="1">
      <c r="A48" s="23">
        <v>41214.0</v>
      </c>
      <c r="B48" s="24">
        <v>227.25</v>
      </c>
      <c r="C48" s="25">
        <v>13.0</v>
      </c>
      <c r="D48" s="25">
        <v>5.0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ht="14.25" customHeight="1">
      <c r="A49" s="23">
        <v>41244.0</v>
      </c>
      <c r="B49" s="24">
        <v>399.25</v>
      </c>
      <c r="C49" s="25">
        <v>17.0</v>
      </c>
      <c r="D49" s="25">
        <v>31.0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ht="14.25" customHeight="1">
      <c r="A50" s="23">
        <v>41275.0</v>
      </c>
      <c r="B50" s="24">
        <v>499.78</v>
      </c>
      <c r="C50" s="25">
        <v>18.0</v>
      </c>
      <c r="D50" s="25">
        <v>71.0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ht="14.25" customHeight="1">
      <c r="A51" s="23">
        <v>41306.0</v>
      </c>
      <c r="B51" s="24">
        <v>296.11</v>
      </c>
      <c r="C51" s="25">
        <v>13.0</v>
      </c>
      <c r="D51" s="25">
        <v>52.0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ht="14.25" customHeight="1">
      <c r="A52" s="23">
        <v>41334.0</v>
      </c>
      <c r="B52" s="24">
        <v>168.83</v>
      </c>
      <c r="C52" s="25">
        <v>8.0</v>
      </c>
      <c r="D52" s="25">
        <v>40.0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ht="14.25" customHeight="1">
      <c r="A53" s="23">
        <v>41365.0</v>
      </c>
      <c r="B53" s="24">
        <v>198.78</v>
      </c>
      <c r="C53" s="25">
        <v>10.0</v>
      </c>
      <c r="D53" s="25">
        <v>26.0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ht="14.25" customHeight="1">
      <c r="A54" s="23">
        <v>41395.0</v>
      </c>
      <c r="B54" s="24">
        <v>172.78</v>
      </c>
      <c r="C54" s="25">
        <v>7.0</v>
      </c>
      <c r="D54" s="25">
        <v>23.0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ht="14.25" customHeight="1">
      <c r="A55" s="23">
        <v>41426.0</v>
      </c>
      <c r="B55" s="24">
        <v>334.17</v>
      </c>
      <c r="C55" s="25">
        <v>13.0</v>
      </c>
      <c r="D55" s="25">
        <v>20.0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ht="14.25" customHeight="1">
      <c r="A56" s="23">
        <v>41456.0</v>
      </c>
      <c r="B56" s="24">
        <v>131.67</v>
      </c>
      <c r="C56" s="25">
        <v>7.0</v>
      </c>
      <c r="D56" s="25">
        <v>31.0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ht="14.25" customHeight="1">
      <c r="A57" s="23">
        <v>41487.0</v>
      </c>
      <c r="B57" s="24">
        <v>0.06</v>
      </c>
      <c r="C57" s="25">
        <v>0.0</v>
      </c>
      <c r="D57" s="25">
        <v>10.0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ht="14.25" customHeight="1">
      <c r="A58" s="23">
        <v>41518.0</v>
      </c>
      <c r="B58" s="24">
        <v>0.06</v>
      </c>
      <c r="C58" s="25">
        <v>0.0</v>
      </c>
      <c r="D58" s="25">
        <v>16.0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ht="14.25" customHeight="1">
      <c r="A59" s="23">
        <v>41548.0</v>
      </c>
      <c r="B59" s="24">
        <v>68.22</v>
      </c>
      <c r="C59" s="25">
        <v>3.0</v>
      </c>
      <c r="D59" s="25">
        <v>13.0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ht="14.25" customHeight="1">
      <c r="A60" s="23">
        <v>41579.0</v>
      </c>
      <c r="B60" s="24">
        <v>245.28</v>
      </c>
      <c r="C60" s="25">
        <v>12.0</v>
      </c>
      <c r="D60" s="25">
        <v>27.0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ht="14.25" customHeight="1">
      <c r="A61" s="23">
        <v>41609.0</v>
      </c>
      <c r="B61" s="24">
        <v>374.17</v>
      </c>
      <c r="C61" s="25">
        <v>12.0</v>
      </c>
      <c r="D61" s="25">
        <v>22.0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ht="14.25" customHeight="1">
      <c r="A62" s="23">
        <v>41640.0</v>
      </c>
      <c r="B62" s="24">
        <v>387.94</v>
      </c>
      <c r="C62" s="25">
        <v>17.0</v>
      </c>
      <c r="D62" s="25">
        <v>37.0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ht="14.25" customHeight="1">
      <c r="A63" s="23">
        <v>41671.0</v>
      </c>
      <c r="B63" s="24">
        <v>332.78</v>
      </c>
      <c r="C63" s="25">
        <v>14.0</v>
      </c>
      <c r="D63" s="25">
        <v>20.0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ht="14.25" customHeight="1">
      <c r="A64" s="23">
        <v>41699.0</v>
      </c>
      <c r="B64" s="24">
        <v>108.22</v>
      </c>
      <c r="C64" s="25">
        <v>7.0</v>
      </c>
      <c r="D64" s="25">
        <v>23.0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ht="14.25" customHeight="1">
      <c r="A65" s="23">
        <v>41730.0</v>
      </c>
      <c r="B65" s="24">
        <v>179.89</v>
      </c>
      <c r="C65" s="25">
        <v>11.0</v>
      </c>
      <c r="D65" s="25">
        <v>20.0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ht="14.25" customHeight="1">
      <c r="A66" s="23">
        <v>41760.0</v>
      </c>
      <c r="B66" s="24">
        <v>63.89</v>
      </c>
      <c r="C66" s="25">
        <v>5.0</v>
      </c>
      <c r="D66" s="25">
        <v>21.0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ht="14.25" customHeight="1">
      <c r="A67" s="23">
        <v>41791.0</v>
      </c>
      <c r="B67" s="24">
        <v>56.5</v>
      </c>
      <c r="C67" s="25">
        <v>4.0</v>
      </c>
      <c r="D67" s="25">
        <v>33.0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ht="14.25" customHeight="1">
      <c r="A68" s="23">
        <v>41821.0</v>
      </c>
      <c r="B68" s="24">
        <v>59.56</v>
      </c>
      <c r="C68" s="25">
        <v>3.0</v>
      </c>
      <c r="D68" s="25">
        <v>22.0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ht="14.25" customHeight="1">
      <c r="A69" s="23">
        <v>41852.0</v>
      </c>
      <c r="B69" s="24">
        <v>0.83</v>
      </c>
      <c r="C69" s="25">
        <v>0.0</v>
      </c>
      <c r="D69" s="25">
        <v>35.0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ht="14.25" customHeight="1">
      <c r="A70" s="23">
        <v>41883.0</v>
      </c>
      <c r="B70" s="24">
        <v>0.0</v>
      </c>
      <c r="C70" s="25">
        <v>0.0</v>
      </c>
      <c r="D70" s="25">
        <v>26.0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ht="14.25" customHeight="1">
      <c r="A71" s="23">
        <v>41913.0</v>
      </c>
      <c r="B71" s="24">
        <v>0.44</v>
      </c>
      <c r="C71" s="25">
        <v>0.0</v>
      </c>
      <c r="D71" s="25">
        <v>33.0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ht="14.25" customHeight="1">
      <c r="A72" s="23">
        <v>41944.0</v>
      </c>
      <c r="B72" s="24">
        <v>220.11</v>
      </c>
      <c r="C72" s="25">
        <v>12.0</v>
      </c>
      <c r="D72" s="25">
        <v>36.0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ht="14.25" customHeight="1">
      <c r="A73" s="23">
        <v>41974.0</v>
      </c>
      <c r="B73" s="24">
        <v>471.78</v>
      </c>
      <c r="C73" s="25">
        <v>18.0</v>
      </c>
      <c r="D73" s="25">
        <v>21.0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ht="14.25" customHeight="1">
      <c r="A74" s="23">
        <v>42005.0</v>
      </c>
      <c r="B74" s="24">
        <v>373.28</v>
      </c>
      <c r="C74" s="25">
        <v>17.0</v>
      </c>
      <c r="D74" s="25">
        <v>129.0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ht="14.25" customHeight="1">
      <c r="A75" s="23">
        <v>42036.0</v>
      </c>
      <c r="B75" s="24">
        <v>265.61</v>
      </c>
      <c r="C75" s="25">
        <v>12.0</v>
      </c>
      <c r="D75" s="25">
        <v>81.0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ht="14.25" customHeight="1">
      <c r="A76" s="23">
        <v>42064.0</v>
      </c>
      <c r="B76" s="24">
        <v>390.72</v>
      </c>
      <c r="C76" s="25">
        <v>16.0</v>
      </c>
      <c r="D76" s="25">
        <v>44.0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ht="14.25" customHeight="1">
      <c r="A77" s="23">
        <v>42095.0</v>
      </c>
      <c r="B77" s="24">
        <v>330.72</v>
      </c>
      <c r="C77" s="25">
        <v>14.0</v>
      </c>
      <c r="D77" s="25">
        <v>44.0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ht="14.25" customHeight="1">
      <c r="A78" s="23">
        <v>42125.0</v>
      </c>
      <c r="B78" s="24">
        <v>81.61</v>
      </c>
      <c r="C78" s="25">
        <v>6.0</v>
      </c>
      <c r="D78" s="25">
        <v>36.0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ht="14.25" customHeight="1">
      <c r="A79" s="23">
        <v>42156.0</v>
      </c>
      <c r="B79" s="24">
        <v>11.39</v>
      </c>
      <c r="C79" s="25">
        <v>1.0</v>
      </c>
      <c r="D79" s="25">
        <v>37.0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ht="14.25" customHeight="1">
      <c r="A80" s="23">
        <v>42186.0</v>
      </c>
      <c r="B80" s="24">
        <v>0.61</v>
      </c>
      <c r="C80" s="25">
        <v>0.0</v>
      </c>
      <c r="D80" s="25">
        <v>23.0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ht="14.25" customHeight="1">
      <c r="A81" s="23">
        <v>42217.0</v>
      </c>
      <c r="B81" s="24">
        <v>0.0</v>
      </c>
      <c r="C81" s="25">
        <v>0.0</v>
      </c>
      <c r="D81" s="25">
        <v>14.0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ht="14.25" customHeight="1">
      <c r="A82" s="23">
        <v>42248.0</v>
      </c>
      <c r="B82" s="24">
        <v>0.0</v>
      </c>
      <c r="C82" s="25">
        <v>0.0</v>
      </c>
      <c r="D82" s="25">
        <v>11.0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ht="14.25" customHeight="1">
      <c r="A83" s="23">
        <v>42278.0</v>
      </c>
      <c r="B83" s="24">
        <v>1.22</v>
      </c>
      <c r="C83" s="25">
        <v>0.0</v>
      </c>
      <c r="D83" s="25">
        <v>13.0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ht="14.25" customHeight="1">
      <c r="A84" s="23">
        <v>42309.0</v>
      </c>
      <c r="B84" s="24">
        <v>109.94</v>
      </c>
      <c r="C84" s="25">
        <v>7.0</v>
      </c>
      <c r="D84" s="25">
        <v>21.0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ht="14.25" customHeight="1">
      <c r="A85" s="23">
        <v>42339.0</v>
      </c>
      <c r="B85" s="24">
        <v>248.22</v>
      </c>
      <c r="C85" s="25">
        <v>12.0</v>
      </c>
      <c r="D85" s="25">
        <v>6.0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ht="14.25" customHeight="1">
      <c r="A86" s="23">
        <v>42370.0</v>
      </c>
      <c r="B86" s="24">
        <v>243.67</v>
      </c>
      <c r="C86" s="25">
        <v>13.0</v>
      </c>
      <c r="D86" s="25">
        <v>113.0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ht="14.25" customHeight="1">
      <c r="A87" s="23">
        <v>42401.0</v>
      </c>
      <c r="B87" s="24">
        <v>371.94</v>
      </c>
      <c r="C87" s="25">
        <v>16.0</v>
      </c>
      <c r="D87" s="25">
        <v>131.0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ht="14.25" customHeight="1">
      <c r="A88" s="23">
        <v>42430.0</v>
      </c>
      <c r="B88" s="24">
        <v>257.11</v>
      </c>
      <c r="C88" s="25">
        <v>15.0</v>
      </c>
      <c r="D88" s="25">
        <v>131.0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ht="14.25" customHeight="1">
      <c r="A89" s="23">
        <v>42461.0</v>
      </c>
      <c r="B89" s="24">
        <v>243.94</v>
      </c>
      <c r="C89" s="25">
        <v>13.0</v>
      </c>
      <c r="D89" s="25">
        <v>131.0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ht="14.25" customHeight="1">
      <c r="A90" s="23">
        <v>42491.0</v>
      </c>
      <c r="B90" s="24">
        <v>126.78</v>
      </c>
      <c r="C90" s="25">
        <v>10.0</v>
      </c>
      <c r="D90" s="25">
        <v>85.0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ht="14.25" customHeight="1">
      <c r="A91" s="23">
        <v>42522.0</v>
      </c>
      <c r="B91" s="24">
        <v>199.83</v>
      </c>
      <c r="C91" s="25">
        <v>10.0</v>
      </c>
      <c r="D91" s="25">
        <v>105.0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ht="14.25" customHeight="1">
      <c r="A92" s="23">
        <v>42552.0</v>
      </c>
      <c r="B92" s="24">
        <v>65.11</v>
      </c>
      <c r="C92" s="25">
        <v>7.0</v>
      </c>
      <c r="D92" s="25">
        <v>78.0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ht="14.25" customHeight="1">
      <c r="A93" s="23">
        <v>42583.0</v>
      </c>
      <c r="B93" s="24">
        <v>82.11</v>
      </c>
      <c r="C93" s="25">
        <v>7.0</v>
      </c>
      <c r="D93" s="25">
        <v>113.0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ht="14.25" customHeight="1">
      <c r="A94" s="23">
        <v>42614.0</v>
      </c>
      <c r="B94" s="24">
        <v>210.83</v>
      </c>
      <c r="C94" s="25">
        <v>12.0</v>
      </c>
      <c r="D94" s="25">
        <v>78.0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ht="14.25" customHeight="1">
      <c r="A95" s="23">
        <v>42644.0</v>
      </c>
      <c r="B95" s="24">
        <v>262.39</v>
      </c>
      <c r="C95" s="25">
        <v>14.0</v>
      </c>
      <c r="D95" s="25">
        <v>82.0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ht="14.25" customHeight="1">
      <c r="A96" s="23">
        <v>42675.0</v>
      </c>
      <c r="B96" s="24">
        <v>361.67</v>
      </c>
      <c r="C96" s="25">
        <v>17.0</v>
      </c>
      <c r="D96" s="25">
        <v>63.0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ht="14.25" customHeight="1">
      <c r="A97" s="23">
        <v>42705.0</v>
      </c>
      <c r="B97" s="24">
        <v>303.94</v>
      </c>
      <c r="C97" s="25">
        <v>16.0</v>
      </c>
      <c r="D97" s="25">
        <v>27.0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ht="14.25" customHeight="1">
      <c r="A98" s="23">
        <v>42736.0</v>
      </c>
      <c r="B98" s="24">
        <v>349.06</v>
      </c>
      <c r="C98" s="25">
        <v>20.0</v>
      </c>
      <c r="D98" s="25">
        <v>47.0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ht="14.25" customHeight="1">
      <c r="A99" s="23">
        <v>42767.0</v>
      </c>
      <c r="B99" s="24">
        <v>368.39</v>
      </c>
      <c r="C99" s="25">
        <v>18.0</v>
      </c>
      <c r="D99" s="25">
        <v>27.0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ht="14.25" customHeight="1">
      <c r="A100" s="23">
        <v>42795.0</v>
      </c>
      <c r="B100" s="24">
        <v>280.78</v>
      </c>
      <c r="C100" s="25">
        <v>17.0</v>
      </c>
      <c r="D100" s="25">
        <v>30.0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ht="14.25" customHeight="1">
      <c r="A101" s="23">
        <v>42826.0</v>
      </c>
      <c r="B101" s="24">
        <v>196.11</v>
      </c>
      <c r="C101" s="25">
        <v>13.0</v>
      </c>
      <c r="D101" s="25">
        <v>14.0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ht="14.25" customHeight="1">
      <c r="A102" s="23">
        <v>42856.0</v>
      </c>
      <c r="B102" s="24">
        <v>57.22</v>
      </c>
      <c r="C102" s="25">
        <v>6.0</v>
      </c>
      <c r="D102" s="25">
        <v>15.0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ht="14.25" customHeight="1">
      <c r="A103" s="23">
        <v>42887.0</v>
      </c>
      <c r="B103" s="24">
        <v>37.17</v>
      </c>
      <c r="C103" s="25">
        <v>3.0</v>
      </c>
      <c r="D103" s="25">
        <v>16.0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ht="14.25" customHeight="1">
      <c r="A104" s="23">
        <v>42917.0</v>
      </c>
      <c r="B104" s="24">
        <v>17.0</v>
      </c>
      <c r="C104" s="25">
        <v>3.0</v>
      </c>
      <c r="D104" s="25">
        <v>3.0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ht="14.25" customHeight="1">
      <c r="A105" s="23">
        <v>42948.0</v>
      </c>
      <c r="B105" s="24">
        <v>4.28</v>
      </c>
      <c r="C105" s="25">
        <v>1.0</v>
      </c>
      <c r="D105" s="25">
        <v>4.0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ht="14.25" customHeight="1">
      <c r="A106" s="23">
        <v>42979.0</v>
      </c>
      <c r="B106" s="24">
        <v>44.28</v>
      </c>
      <c r="C106" s="25">
        <v>4.0</v>
      </c>
      <c r="D106" s="25">
        <v>2.0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ht="14.25" customHeight="1">
      <c r="A107" s="23">
        <v>43009.0</v>
      </c>
      <c r="B107" s="24">
        <v>121.72</v>
      </c>
      <c r="C107" s="25">
        <v>11.0</v>
      </c>
      <c r="D107" s="25">
        <v>8.0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ht="14.25" customHeight="1">
      <c r="A108" s="23">
        <v>43040.0</v>
      </c>
      <c r="B108" s="24">
        <v>577.28</v>
      </c>
      <c r="C108" s="25">
        <v>16.0</v>
      </c>
      <c r="D108" s="25">
        <v>33.0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ht="14.25" customHeight="1">
      <c r="A109" s="23">
        <v>43070.0</v>
      </c>
      <c r="B109" s="24">
        <v>277.22</v>
      </c>
      <c r="C109" s="25">
        <v>14.0</v>
      </c>
      <c r="D109" s="25">
        <v>9.0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ht="14.25" customHeight="1">
      <c r="A110" s="23">
        <v>43101.0</v>
      </c>
      <c r="B110" s="24">
        <v>479.44</v>
      </c>
      <c r="C110" s="25">
        <v>22.0</v>
      </c>
      <c r="D110" s="25">
        <v>19.0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ht="14.25" customHeight="1">
      <c r="A111" s="23">
        <v>43132.0</v>
      </c>
      <c r="B111" s="24">
        <v>200.67</v>
      </c>
      <c r="C111" s="25">
        <v>12.0</v>
      </c>
      <c r="D111" s="25">
        <v>12.0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ht="14.25" customHeight="1">
      <c r="A112" s="23">
        <v>43160.0</v>
      </c>
      <c r="B112" s="24">
        <v>241.5</v>
      </c>
      <c r="C112" s="25">
        <v>16.0</v>
      </c>
      <c r="D112" s="25">
        <v>7.0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ht="14.25" customHeight="1">
      <c r="A113" s="23">
        <v>43191.0</v>
      </c>
      <c r="B113" s="24">
        <v>90.72</v>
      </c>
      <c r="C113" s="25">
        <v>13.0</v>
      </c>
      <c r="D113" s="25">
        <v>8.0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ht="14.25" customHeight="1">
      <c r="A114" s="23">
        <v>43221.0</v>
      </c>
      <c r="B114" s="24">
        <v>14.17</v>
      </c>
      <c r="C114" s="25">
        <v>8.0</v>
      </c>
      <c r="D114" s="25">
        <v>10.0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ht="14.25" customHeight="1">
      <c r="A115" s="23">
        <v>43252.0</v>
      </c>
      <c r="B115" s="24">
        <v>0.56</v>
      </c>
      <c r="C115" s="25">
        <v>1.0</v>
      </c>
      <c r="D115" s="25">
        <v>5.0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ht="14.25" customHeight="1">
      <c r="A116" s="23">
        <v>43282.0</v>
      </c>
      <c r="B116" s="24">
        <v>0.06</v>
      </c>
      <c r="C116" s="25">
        <v>0.0</v>
      </c>
      <c r="D116" s="25">
        <v>10.0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ht="14.25" customHeight="1">
      <c r="A117" s="23">
        <v>43313.0</v>
      </c>
      <c r="B117" s="24">
        <v>0.0</v>
      </c>
      <c r="C117" s="25">
        <v>0.0</v>
      </c>
      <c r="D117" s="25">
        <v>5.0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ht="14.25" customHeight="1">
      <c r="A118" s="23">
        <v>43344.0</v>
      </c>
      <c r="B118" s="24">
        <v>0.0</v>
      </c>
      <c r="C118" s="25">
        <v>3.0</v>
      </c>
      <c r="D118" s="25">
        <v>10.0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ht="14.25" customHeight="1">
      <c r="A119" s="23">
        <v>43374.0</v>
      </c>
      <c r="B119" s="24">
        <v>1.89</v>
      </c>
      <c r="C119" s="25">
        <v>0.0</v>
      </c>
      <c r="D119" s="25">
        <v>10.0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ht="14.25" customHeight="1">
      <c r="A120" s="23">
        <v>43405.0</v>
      </c>
      <c r="B120" s="24">
        <v>121.33</v>
      </c>
      <c r="C120" s="25">
        <v>9.0</v>
      </c>
      <c r="D120" s="25">
        <v>18.0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ht="14.25" customHeight="1">
      <c r="A121" s="23">
        <v>43435.0</v>
      </c>
      <c r="B121" s="24">
        <v>116.06</v>
      </c>
      <c r="C121" s="25">
        <v>15.0</v>
      </c>
      <c r="D121" s="25">
        <v>10.0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ht="14.25" customHeight="1">
      <c r="A122" s="23">
        <v>43466.0</v>
      </c>
      <c r="B122" s="27">
        <v>505.0</v>
      </c>
      <c r="C122" s="28">
        <v>21.0</v>
      </c>
      <c r="D122" s="29">
        <v>55.0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ht="14.25" customHeight="1">
      <c r="A123" s="23">
        <v>43497.0</v>
      </c>
      <c r="B123" s="27">
        <v>200.0</v>
      </c>
      <c r="C123" s="30">
        <v>19.0</v>
      </c>
      <c r="D123" s="29">
        <v>67.0</v>
      </c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ht="14.25" customHeight="1">
      <c r="A124" s="23">
        <v>43525.0</v>
      </c>
      <c r="B124" s="27">
        <v>527.0</v>
      </c>
      <c r="C124" s="30">
        <v>19.0</v>
      </c>
      <c r="D124" s="29">
        <v>70.0</v>
      </c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ht="14.25" customHeight="1">
      <c r="A125" s="23">
        <v>43556.0</v>
      </c>
      <c r="B125" s="27">
        <v>164.0</v>
      </c>
      <c r="C125" s="30">
        <v>11.0</v>
      </c>
      <c r="D125" s="29">
        <v>70.0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ht="14.25" customHeight="1">
      <c r="A126" s="23">
        <v>43586.0</v>
      </c>
      <c r="B126" s="27">
        <v>36.0</v>
      </c>
      <c r="C126" s="30">
        <v>2.0</v>
      </c>
      <c r="D126" s="29">
        <v>60.0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ht="14.25" customHeight="1">
      <c r="A127" s="23">
        <v>43617.0</v>
      </c>
      <c r="B127" s="27">
        <v>0.0</v>
      </c>
      <c r="C127" s="30">
        <v>0.0</v>
      </c>
      <c r="D127" s="29">
        <v>28.0</v>
      </c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ht="14.25" customHeight="1">
      <c r="A128" s="23">
        <v>43647.0</v>
      </c>
      <c r="B128" s="27">
        <v>0.0</v>
      </c>
      <c r="C128" s="30">
        <v>0.0</v>
      </c>
      <c r="D128" s="29">
        <v>36.0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ht="14.25" customHeight="1">
      <c r="A129" s="23">
        <v>43678.0</v>
      </c>
      <c r="B129" s="27">
        <v>0.0</v>
      </c>
      <c r="C129" s="30">
        <v>0.0</v>
      </c>
      <c r="D129" s="29">
        <v>27.0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ht="14.25" customHeight="1">
      <c r="A130" s="23">
        <v>43709.0</v>
      </c>
      <c r="B130" s="27">
        <v>0.0</v>
      </c>
      <c r="C130" s="30">
        <v>0.0</v>
      </c>
      <c r="D130" s="29">
        <v>13.0</v>
      </c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ht="14.25" customHeight="1">
      <c r="A131" s="23">
        <v>43739.0</v>
      </c>
      <c r="B131" s="27">
        <v>0.0</v>
      </c>
      <c r="C131" s="30">
        <v>0.0</v>
      </c>
      <c r="D131" s="29">
        <v>30.0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ht="14.25" customHeight="1">
      <c r="A132" s="23">
        <v>43770.0</v>
      </c>
      <c r="B132" s="27">
        <v>131.0</v>
      </c>
      <c r="C132" s="30">
        <v>9.0</v>
      </c>
      <c r="D132" s="29">
        <v>48.0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ht="14.25" customHeight="1">
      <c r="A133" s="23">
        <v>43800.0</v>
      </c>
      <c r="B133" s="27">
        <v>274.0</v>
      </c>
      <c r="C133" s="30">
        <v>22.0</v>
      </c>
      <c r="D133" s="29">
        <v>65.0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ht="14.25" customHeight="1">
      <c r="A134" s="23">
        <v>43831.0</v>
      </c>
      <c r="B134" s="27">
        <v>277.0</v>
      </c>
      <c r="C134" s="25">
        <v>23.0</v>
      </c>
      <c r="D134" s="29">
        <v>142.0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ht="14.25" customHeight="1">
      <c r="A135" s="23">
        <v>43862.0</v>
      </c>
      <c r="B135" s="27">
        <v>336.0</v>
      </c>
      <c r="C135" s="25">
        <v>22.0</v>
      </c>
      <c r="D135" s="29">
        <v>255.0</v>
      </c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ht="14.25" customHeight="1">
      <c r="A136" s="23">
        <v>43891.0</v>
      </c>
      <c r="B136" s="27">
        <v>422.0</v>
      </c>
      <c r="C136" s="25">
        <v>19.0</v>
      </c>
      <c r="D136" s="29">
        <v>269.0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ht="14.25" customHeight="1">
      <c r="A137" s="23">
        <v>43922.0</v>
      </c>
      <c r="B137" s="27">
        <v>334.0</v>
      </c>
      <c r="C137" s="25">
        <v>12.0</v>
      </c>
      <c r="D137" s="29">
        <v>131.0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ht="14.25" customHeight="1">
      <c r="A138" s="23">
        <v>43952.0</v>
      </c>
      <c r="B138" s="27">
        <v>80.0</v>
      </c>
      <c r="C138" s="25">
        <v>12.0</v>
      </c>
      <c r="D138" s="29">
        <v>65.0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ht="14.25" customHeight="1">
      <c r="A139" s="23">
        <v>43983.0</v>
      </c>
      <c r="B139" s="27">
        <v>8.0</v>
      </c>
      <c r="C139" s="25">
        <v>6.0</v>
      </c>
      <c r="D139" s="29">
        <v>34.0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ht="14.25" customHeight="1">
      <c r="A140" s="23">
        <v>44013.0</v>
      </c>
      <c r="B140" s="27">
        <v>2.0</v>
      </c>
      <c r="C140" s="25">
        <v>1.0</v>
      </c>
      <c r="D140" s="29">
        <v>20.0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ht="14.25" customHeight="1">
      <c r="A141" s="23">
        <v>44044.0</v>
      </c>
      <c r="B141" s="27">
        <v>24.0</v>
      </c>
      <c r="C141" s="25">
        <v>3.0</v>
      </c>
      <c r="D141" s="29">
        <v>13.0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ht="14.25" customHeight="1">
      <c r="A142" s="23">
        <v>44075.0</v>
      </c>
      <c r="B142" s="27">
        <v>12.0</v>
      </c>
      <c r="C142" s="25">
        <v>3.0</v>
      </c>
      <c r="D142" s="29">
        <v>9.0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ht="14.25" customHeight="1">
      <c r="A143" s="23">
        <v>44105.0</v>
      </c>
      <c r="B143" s="27">
        <v>191.0</v>
      </c>
      <c r="C143" s="25">
        <v>14.0</v>
      </c>
      <c r="D143" s="29">
        <v>6.0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ht="14.25" customHeight="1">
      <c r="A144" s="23">
        <v>44136.0</v>
      </c>
      <c r="B144" s="27">
        <v>329.0</v>
      </c>
      <c r="C144" s="25">
        <v>16.0</v>
      </c>
      <c r="D144" s="29">
        <v>17.0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ht="14.25" customHeight="1">
      <c r="A145" s="23">
        <v>44166.0</v>
      </c>
      <c r="B145" s="27">
        <v>312.0</v>
      </c>
      <c r="C145" s="25">
        <v>19.0</v>
      </c>
      <c r="D145" s="29">
        <v>14.0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ht="14.25" customHeight="1">
      <c r="A146" s="31">
        <v>44197.0</v>
      </c>
      <c r="B146" s="32">
        <v>397.0</v>
      </c>
      <c r="C146" s="33">
        <v>22.0</v>
      </c>
      <c r="D146" s="33">
        <v>14.0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ht="14.25" customHeight="1">
      <c r="A147" s="31">
        <v>44228.0</v>
      </c>
      <c r="B147" s="32">
        <v>258.0</v>
      </c>
      <c r="C147" s="33">
        <v>22.0</v>
      </c>
      <c r="D147" s="33">
        <v>4.0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ht="14.25" customHeight="1">
      <c r="A148" s="31">
        <v>44256.0</v>
      </c>
      <c r="B148" s="32">
        <v>142.0</v>
      </c>
      <c r="C148" s="33">
        <v>15.0</v>
      </c>
      <c r="D148" s="33">
        <v>10.0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ht="14.25" customHeight="1">
      <c r="A149" s="31">
        <v>44287.0</v>
      </c>
      <c r="B149" s="32">
        <v>291.0</v>
      </c>
      <c r="C149" s="33">
        <v>15.0</v>
      </c>
      <c r="D149" s="33">
        <v>8.0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ht="14.25" customHeight="1">
      <c r="A150" s="31">
        <v>44317.0</v>
      </c>
      <c r="B150" s="32">
        <v>77.0</v>
      </c>
      <c r="C150" s="33">
        <v>6.0</v>
      </c>
      <c r="D150" s="33">
        <v>5.0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ht="14.25" customHeight="1">
      <c r="A151" s="31">
        <v>44348.0</v>
      </c>
      <c r="B151" s="32">
        <v>247.0</v>
      </c>
      <c r="C151" s="33">
        <v>17.0</v>
      </c>
      <c r="D151" s="33">
        <v>3.0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ht="14.25" customHeight="1">
      <c r="A152" s="31">
        <v>44378.0</v>
      </c>
      <c r="B152" s="32">
        <v>8.0</v>
      </c>
      <c r="C152" s="33">
        <v>2.0</v>
      </c>
      <c r="D152" s="33">
        <v>0.0</v>
      </c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ht="14.25" customHeight="1">
      <c r="A153" s="31">
        <v>44409.0</v>
      </c>
      <c r="B153" s="32">
        <v>53.0</v>
      </c>
      <c r="C153" s="33">
        <v>4.0</v>
      </c>
      <c r="D153" s="33">
        <v>0.0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ht="14.25" customHeight="1">
      <c r="A154" s="31">
        <v>44440.0</v>
      </c>
      <c r="B154" s="32">
        <v>115.0</v>
      </c>
      <c r="C154" s="33">
        <v>7.0</v>
      </c>
      <c r="D154" s="33">
        <v>11.0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ht="14.25" customHeight="1">
      <c r="A155" s="31">
        <v>44470.0</v>
      </c>
      <c r="B155" s="32">
        <v>53.0</v>
      </c>
      <c r="C155" s="33">
        <v>5.0</v>
      </c>
      <c r="D155" s="33">
        <v>23.0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ht="14.25" customHeight="1">
      <c r="A156" s="31">
        <v>44501.0</v>
      </c>
      <c r="B156" s="32">
        <v>522.0</v>
      </c>
      <c r="C156" s="33">
        <v>26.0</v>
      </c>
      <c r="D156" s="33">
        <v>44.0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ht="14.25" customHeight="1">
      <c r="A157" s="31">
        <v>44531.0</v>
      </c>
      <c r="B157" s="32">
        <v>286.0</v>
      </c>
      <c r="C157" s="33">
        <v>22.0</v>
      </c>
      <c r="D157" s="33">
        <v>58.0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ht="14.25" customHeight="1">
      <c r="A158" s="31">
        <v>44562.0</v>
      </c>
      <c r="B158" s="32">
        <v>199.0</v>
      </c>
      <c r="C158" s="33">
        <v>23.0</v>
      </c>
      <c r="D158" s="34">
        <v>139.0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ht="14.25" customHeight="1">
      <c r="A159" s="31">
        <v>44593.0</v>
      </c>
      <c r="B159" s="32">
        <v>188.0</v>
      </c>
      <c r="C159" s="33">
        <v>19.0</v>
      </c>
      <c r="D159" s="34">
        <v>44.0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ht="14.25" customHeight="1">
      <c r="A160" s="31">
        <v>44621.0</v>
      </c>
      <c r="B160" s="32">
        <v>403.0</v>
      </c>
      <c r="C160" s="33">
        <v>26.0</v>
      </c>
      <c r="D160" s="34">
        <v>34.0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ht="14.25" customHeight="1">
      <c r="A161" s="31">
        <v>44652.0</v>
      </c>
      <c r="B161" s="32">
        <v>243.0</v>
      </c>
      <c r="C161" s="33">
        <v>13.0</v>
      </c>
      <c r="D161" s="34">
        <v>49.0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ht="14.25" customHeight="1">
      <c r="A162" s="31">
        <v>44682.0</v>
      </c>
      <c r="B162" s="32">
        <v>218.1</v>
      </c>
      <c r="C162" s="33">
        <v>16.0</v>
      </c>
      <c r="D162" s="34">
        <v>41.0</v>
      </c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ht="14.25" customHeight="1">
      <c r="A163" s="31">
        <v>44713.0</v>
      </c>
      <c r="B163" s="32">
        <v>132.7</v>
      </c>
      <c r="C163" s="33">
        <v>12.0</v>
      </c>
      <c r="D163" s="34">
        <v>33.0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ht="14.25" customHeight="1">
      <c r="A164" s="31">
        <v>44743.0</v>
      </c>
      <c r="B164" s="32">
        <v>35.5</v>
      </c>
      <c r="C164" s="33">
        <v>2.0</v>
      </c>
      <c r="D164" s="34">
        <v>36.0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ht="14.25" customHeight="1">
      <c r="A165" s="31">
        <v>44774.0</v>
      </c>
      <c r="B165" s="32">
        <v>53.0</v>
      </c>
      <c r="C165" s="33">
        <v>5.0</v>
      </c>
      <c r="D165" s="34">
        <v>20.0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ht="14.25" customHeight="1">
      <c r="A166" s="31">
        <v>44805.0</v>
      </c>
      <c r="B166" s="32">
        <v>26.5</v>
      </c>
      <c r="C166" s="33">
        <v>6.0</v>
      </c>
      <c r="D166" s="34">
        <v>17.0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ht="14.25" customHeight="1">
      <c r="A167" s="31">
        <v>44835.0</v>
      </c>
      <c r="B167" s="32">
        <v>371.7</v>
      </c>
      <c r="C167" s="33">
        <v>19.0</v>
      </c>
      <c r="D167" s="34">
        <v>19.0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ht="14.25" customHeight="1">
      <c r="A168" s="31">
        <v>44866.0</v>
      </c>
      <c r="B168" s="32">
        <v>659.0</v>
      </c>
      <c r="C168" s="33">
        <v>23.0</v>
      </c>
      <c r="D168" s="34">
        <v>11.0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ht="14.25" customHeight="1">
      <c r="A169" s="31">
        <v>44896.0</v>
      </c>
      <c r="B169" s="32">
        <v>369.0</v>
      </c>
      <c r="C169" s="33">
        <v>18.0</v>
      </c>
      <c r="D169" s="34">
        <v>15.0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ht="14.25" customHeight="1">
      <c r="A170" s="22"/>
      <c r="B170" s="35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ht="14.25" customHeight="1">
      <c r="A171" s="22"/>
      <c r="B171" s="35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ht="14.25" customHeight="1">
      <c r="A172" s="22"/>
      <c r="B172" s="35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ht="14.25" customHeight="1">
      <c r="A173" s="22"/>
      <c r="B173" s="35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ht="14.25" customHeight="1">
      <c r="A174" s="22"/>
      <c r="B174" s="35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ht="14.25" customHeight="1">
      <c r="A175" s="22"/>
      <c r="B175" s="35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ht="14.25" customHeight="1">
      <c r="A176" s="22"/>
      <c r="B176" s="35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ht="14.25" customHeight="1">
      <c r="A177" s="22"/>
      <c r="B177" s="35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ht="14.25" customHeight="1">
      <c r="A178" s="22"/>
      <c r="B178" s="35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ht="14.25" customHeight="1">
      <c r="A179" s="22"/>
      <c r="B179" s="35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ht="14.25" customHeight="1">
      <c r="A180" s="22"/>
      <c r="B180" s="35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ht="14.25" customHeight="1">
      <c r="A181" s="22"/>
      <c r="B181" s="35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ht="14.25" customHeight="1">
      <c r="A182" s="22"/>
      <c r="B182" s="35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ht="14.25" customHeight="1">
      <c r="A183" s="22"/>
      <c r="B183" s="35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ht="14.25" customHeight="1">
      <c r="A184" s="22"/>
      <c r="B184" s="35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ht="14.25" customHeight="1">
      <c r="A185" s="22"/>
      <c r="B185" s="35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ht="14.25" customHeight="1">
      <c r="A186" s="22"/>
      <c r="B186" s="35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ht="14.25" customHeight="1">
      <c r="A187" s="22"/>
      <c r="B187" s="35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ht="14.25" customHeight="1">
      <c r="A188" s="22"/>
      <c r="B188" s="35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ht="14.25" customHeight="1">
      <c r="A189" s="22"/>
      <c r="B189" s="35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ht="14.25" customHeight="1">
      <c r="A190" s="22"/>
      <c r="B190" s="35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ht="14.25" customHeight="1">
      <c r="A191" s="22"/>
      <c r="B191" s="35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ht="14.25" customHeight="1">
      <c r="A192" s="22"/>
      <c r="B192" s="35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ht="14.25" customHeight="1">
      <c r="A193" s="22"/>
      <c r="B193" s="35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ht="14.25" customHeight="1">
      <c r="A194" s="22"/>
      <c r="B194" s="35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ht="14.25" customHeight="1">
      <c r="A195" s="22"/>
      <c r="B195" s="35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ht="14.25" customHeight="1">
      <c r="A196" s="22"/>
      <c r="B196" s="35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ht="14.25" customHeight="1">
      <c r="A197" s="22"/>
      <c r="B197" s="35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ht="14.25" customHeight="1">
      <c r="A198" s="22"/>
      <c r="B198" s="35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ht="14.25" customHeight="1">
      <c r="A199" s="22"/>
      <c r="B199" s="35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ht="14.25" customHeight="1">
      <c r="A200" s="22"/>
      <c r="B200" s="35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ht="14.25" customHeight="1">
      <c r="A201" s="22"/>
      <c r="B201" s="35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ht="14.25" customHeight="1">
      <c r="A202" s="22"/>
      <c r="B202" s="35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ht="14.25" customHeight="1">
      <c r="A203" s="22"/>
      <c r="B203" s="35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ht="14.25" customHeight="1">
      <c r="A204" s="22"/>
      <c r="B204" s="35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ht="14.25" customHeight="1">
      <c r="A205" s="22"/>
      <c r="B205" s="35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ht="14.25" customHeight="1">
      <c r="A206" s="22"/>
      <c r="B206" s="35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ht="14.25" customHeight="1">
      <c r="A207" s="22"/>
      <c r="B207" s="35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ht="14.25" customHeight="1">
      <c r="A208" s="22"/>
      <c r="B208" s="35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ht="14.25" customHeight="1">
      <c r="A209" s="22"/>
      <c r="B209" s="35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ht="14.25" customHeight="1">
      <c r="A210" s="22"/>
      <c r="B210" s="35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ht="14.25" customHeight="1">
      <c r="A211" s="22"/>
      <c r="B211" s="35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ht="14.25" customHeight="1">
      <c r="A212" s="22"/>
      <c r="B212" s="35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ht="14.25" customHeight="1">
      <c r="A213" s="22"/>
      <c r="B213" s="35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ht="14.25" customHeight="1">
      <c r="A214" s="22"/>
      <c r="B214" s="35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ht="14.25" customHeight="1">
      <c r="A215" s="22"/>
      <c r="B215" s="35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ht="14.25" customHeight="1">
      <c r="A216" s="22"/>
      <c r="B216" s="35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ht="14.25" customHeight="1">
      <c r="A217" s="22"/>
      <c r="B217" s="35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ht="14.25" customHeight="1">
      <c r="A218" s="22"/>
      <c r="B218" s="35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ht="14.25" customHeight="1">
      <c r="A219" s="22"/>
      <c r="B219" s="35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ht="14.25" customHeight="1">
      <c r="A220" s="22"/>
      <c r="B220" s="35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ht="14.25" customHeight="1">
      <c r="A221" s="22"/>
      <c r="B221" s="35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ht="14.25" customHeight="1">
      <c r="A222" s="22"/>
      <c r="B222" s="35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ht="14.25" customHeight="1">
      <c r="A223" s="22"/>
      <c r="B223" s="35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ht="14.25" customHeight="1">
      <c r="A224" s="22"/>
      <c r="B224" s="35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ht="14.25" customHeight="1">
      <c r="A225" s="22"/>
      <c r="B225" s="35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ht="14.25" customHeight="1">
      <c r="A226" s="22"/>
      <c r="B226" s="35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ht="14.25" customHeight="1">
      <c r="A227" s="22"/>
      <c r="B227" s="35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ht="14.25" customHeight="1">
      <c r="A228" s="22"/>
      <c r="B228" s="35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ht="14.25" customHeight="1">
      <c r="A229" s="22"/>
      <c r="B229" s="35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ht="14.25" customHeight="1">
      <c r="A230" s="22"/>
      <c r="B230" s="35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ht="14.25" customHeight="1">
      <c r="A231" s="22"/>
      <c r="B231" s="35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ht="14.25" customHeight="1">
      <c r="A232" s="22"/>
      <c r="B232" s="35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ht="14.25" customHeight="1">
      <c r="A233" s="22"/>
      <c r="B233" s="35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ht="14.25" customHeight="1">
      <c r="A234" s="22"/>
      <c r="B234" s="35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ht="14.25" customHeight="1">
      <c r="A235" s="22"/>
      <c r="B235" s="35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ht="14.25" customHeight="1">
      <c r="A236" s="22"/>
      <c r="B236" s="35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ht="14.25" customHeight="1">
      <c r="A237" s="22"/>
      <c r="B237" s="35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ht="14.25" customHeight="1">
      <c r="A238" s="22"/>
      <c r="B238" s="35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ht="14.25" customHeight="1">
      <c r="A239" s="22"/>
      <c r="B239" s="35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ht="14.25" customHeight="1">
      <c r="A240" s="22"/>
      <c r="B240" s="35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ht="14.25" customHeight="1">
      <c r="A241" s="22"/>
      <c r="B241" s="35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ht="14.25" customHeight="1">
      <c r="A242" s="22"/>
      <c r="B242" s="35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ht="14.25" customHeight="1">
      <c r="A243" s="22"/>
      <c r="B243" s="35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ht="14.25" customHeight="1">
      <c r="A244" s="22"/>
      <c r="B244" s="35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ht="14.25" customHeight="1">
      <c r="A245" s="22"/>
      <c r="B245" s="35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ht="14.25" customHeight="1">
      <c r="A246" s="22"/>
      <c r="B246" s="35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ht="14.25" customHeight="1">
      <c r="A247" s="22"/>
      <c r="B247" s="35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ht="14.25" customHeight="1">
      <c r="A248" s="22"/>
      <c r="B248" s="35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ht="14.25" customHeight="1">
      <c r="A249" s="22"/>
      <c r="B249" s="35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ht="14.25" customHeight="1">
      <c r="A250" s="22"/>
      <c r="B250" s="35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ht="14.25" customHeight="1">
      <c r="A251" s="22"/>
      <c r="B251" s="35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ht="14.25" customHeight="1">
      <c r="A252" s="22"/>
      <c r="B252" s="35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ht="14.25" customHeight="1">
      <c r="A253" s="22"/>
      <c r="B253" s="35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ht="14.25" customHeight="1">
      <c r="A254" s="22"/>
      <c r="B254" s="35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ht="14.25" customHeight="1">
      <c r="A255" s="22"/>
      <c r="B255" s="35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ht="14.25" customHeight="1">
      <c r="A256" s="22"/>
      <c r="B256" s="35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ht="14.25" customHeight="1">
      <c r="A257" s="22"/>
      <c r="B257" s="35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ht="14.25" customHeight="1">
      <c r="A258" s="22"/>
      <c r="B258" s="35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ht="14.25" customHeight="1">
      <c r="A259" s="22"/>
      <c r="B259" s="35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ht="14.25" customHeight="1">
      <c r="A260" s="22"/>
      <c r="B260" s="35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ht="14.25" customHeight="1">
      <c r="A261" s="22"/>
      <c r="B261" s="35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ht="14.25" customHeight="1">
      <c r="A262" s="22"/>
      <c r="B262" s="35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ht="14.25" customHeight="1">
      <c r="A263" s="22"/>
      <c r="B263" s="35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ht="14.25" customHeight="1">
      <c r="A264" s="22"/>
      <c r="B264" s="35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ht="14.25" customHeight="1">
      <c r="A265" s="22"/>
      <c r="B265" s="35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ht="14.25" customHeight="1">
      <c r="A266" s="22"/>
      <c r="B266" s="35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ht="14.25" customHeight="1">
      <c r="A267" s="22"/>
      <c r="B267" s="35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ht="14.25" customHeight="1">
      <c r="A268" s="22"/>
      <c r="B268" s="35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ht="14.25" customHeight="1">
      <c r="A269" s="22"/>
      <c r="B269" s="35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ht="14.25" customHeight="1">
      <c r="A270" s="22"/>
      <c r="B270" s="35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ht="14.25" customHeight="1">
      <c r="A271" s="22"/>
      <c r="B271" s="35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ht="14.25" customHeight="1">
      <c r="A272" s="22"/>
      <c r="B272" s="35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ht="14.25" customHeight="1">
      <c r="A273" s="22"/>
      <c r="B273" s="35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ht="14.25" customHeight="1">
      <c r="A274" s="22"/>
      <c r="B274" s="35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ht="14.25" customHeight="1">
      <c r="A275" s="22"/>
      <c r="B275" s="35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ht="14.25" customHeight="1">
      <c r="A276" s="22"/>
      <c r="B276" s="35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ht="14.25" customHeight="1">
      <c r="A277" s="22"/>
      <c r="B277" s="35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ht="14.25" customHeight="1">
      <c r="A278" s="22"/>
      <c r="B278" s="35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ht="14.25" customHeight="1">
      <c r="A279" s="22"/>
      <c r="B279" s="35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ht="14.25" customHeight="1">
      <c r="A280" s="22"/>
      <c r="B280" s="35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ht="14.25" customHeight="1">
      <c r="A281" s="22"/>
      <c r="B281" s="35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ht="14.25" customHeight="1">
      <c r="A282" s="22"/>
      <c r="B282" s="35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ht="14.25" customHeight="1">
      <c r="A283" s="22"/>
      <c r="B283" s="35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ht="14.25" customHeight="1">
      <c r="A284" s="22"/>
      <c r="B284" s="35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ht="14.25" customHeight="1">
      <c r="A285" s="22"/>
      <c r="B285" s="35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ht="14.25" customHeight="1">
      <c r="A286" s="22"/>
      <c r="B286" s="35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ht="14.25" customHeight="1">
      <c r="A287" s="22"/>
      <c r="B287" s="35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ht="14.25" customHeight="1">
      <c r="A288" s="22"/>
      <c r="B288" s="35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ht="14.25" customHeight="1">
      <c r="A289" s="22"/>
      <c r="B289" s="35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ht="14.25" customHeight="1">
      <c r="A290" s="22"/>
      <c r="B290" s="35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ht="14.25" customHeight="1">
      <c r="A291" s="22"/>
      <c r="B291" s="35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ht="14.25" customHeight="1">
      <c r="A292" s="22"/>
      <c r="B292" s="35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ht="14.25" customHeight="1">
      <c r="A293" s="22"/>
      <c r="B293" s="35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ht="14.25" customHeight="1">
      <c r="A294" s="22"/>
      <c r="B294" s="35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ht="14.25" customHeight="1">
      <c r="A295" s="22"/>
      <c r="B295" s="35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ht="14.25" customHeight="1">
      <c r="A296" s="22"/>
      <c r="B296" s="35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ht="14.25" customHeight="1">
      <c r="A297" s="22"/>
      <c r="B297" s="35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ht="14.25" customHeight="1">
      <c r="A298" s="22"/>
      <c r="B298" s="35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ht="14.25" customHeight="1">
      <c r="A299" s="22"/>
      <c r="B299" s="35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ht="14.25" customHeight="1">
      <c r="A300" s="22"/>
      <c r="B300" s="35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ht="14.25" customHeight="1">
      <c r="A301" s="22"/>
      <c r="B301" s="35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ht="14.25" customHeight="1">
      <c r="A302" s="22"/>
      <c r="B302" s="35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ht="14.25" customHeight="1">
      <c r="A303" s="22"/>
      <c r="B303" s="35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ht="14.25" customHeight="1">
      <c r="A304" s="22"/>
      <c r="B304" s="35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ht="14.25" customHeight="1">
      <c r="A305" s="22"/>
      <c r="B305" s="35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ht="14.25" customHeight="1">
      <c r="A306" s="22"/>
      <c r="B306" s="35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ht="14.25" customHeight="1">
      <c r="A307" s="22"/>
      <c r="B307" s="35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ht="14.25" customHeight="1">
      <c r="A308" s="22"/>
      <c r="B308" s="35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ht="14.25" customHeight="1">
      <c r="A309" s="22"/>
      <c r="B309" s="35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ht="14.25" customHeight="1">
      <c r="A310" s="22"/>
      <c r="B310" s="35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ht="14.25" customHeight="1">
      <c r="A311" s="22"/>
      <c r="B311" s="35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ht="14.25" customHeight="1">
      <c r="A312" s="22"/>
      <c r="B312" s="35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ht="14.25" customHeight="1">
      <c r="A313" s="22"/>
      <c r="B313" s="35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ht="14.25" customHeight="1">
      <c r="A314" s="22"/>
      <c r="B314" s="35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ht="14.25" customHeight="1">
      <c r="A315" s="22"/>
      <c r="B315" s="35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ht="14.25" customHeight="1">
      <c r="A316" s="22"/>
      <c r="B316" s="35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ht="14.25" customHeight="1">
      <c r="A317" s="22"/>
      <c r="B317" s="35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ht="14.25" customHeight="1">
      <c r="A318" s="22"/>
      <c r="B318" s="35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ht="14.25" customHeight="1">
      <c r="A319" s="22"/>
      <c r="B319" s="35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ht="14.25" customHeight="1">
      <c r="A320" s="22"/>
      <c r="B320" s="35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ht="14.25" customHeight="1">
      <c r="A321" s="22"/>
      <c r="B321" s="35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ht="14.25" customHeight="1">
      <c r="A322" s="22"/>
      <c r="B322" s="35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ht="14.25" customHeight="1">
      <c r="A323" s="22"/>
      <c r="B323" s="35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ht="14.25" customHeight="1">
      <c r="A324" s="22"/>
      <c r="B324" s="35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ht="14.25" customHeight="1">
      <c r="A325" s="22"/>
      <c r="B325" s="35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ht="14.25" customHeight="1">
      <c r="A326" s="22"/>
      <c r="B326" s="35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ht="14.25" customHeight="1">
      <c r="A327" s="22"/>
      <c r="B327" s="35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ht="14.25" customHeight="1">
      <c r="A328" s="22"/>
      <c r="B328" s="35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ht="14.25" customHeight="1">
      <c r="A329" s="22"/>
      <c r="B329" s="35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ht="14.25" customHeight="1">
      <c r="A330" s="22"/>
      <c r="B330" s="35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ht="14.25" customHeight="1">
      <c r="A331" s="22"/>
      <c r="B331" s="35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ht="14.25" customHeight="1">
      <c r="A332" s="22"/>
      <c r="B332" s="35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ht="14.25" customHeight="1">
      <c r="A333" s="22"/>
      <c r="B333" s="35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ht="14.25" customHeight="1">
      <c r="A334" s="22"/>
      <c r="B334" s="35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ht="14.25" customHeight="1">
      <c r="A335" s="22"/>
      <c r="B335" s="35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ht="14.25" customHeight="1">
      <c r="A336" s="22"/>
      <c r="B336" s="35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ht="14.25" customHeight="1">
      <c r="A337" s="22"/>
      <c r="B337" s="35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ht="14.25" customHeight="1">
      <c r="A338" s="22"/>
      <c r="B338" s="35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ht="14.25" customHeight="1">
      <c r="A339" s="22"/>
      <c r="B339" s="35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ht="14.25" customHeight="1">
      <c r="A340" s="22"/>
      <c r="B340" s="35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ht="14.25" customHeight="1">
      <c r="A341" s="22"/>
      <c r="B341" s="35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ht="14.25" customHeight="1">
      <c r="A342" s="22"/>
      <c r="B342" s="35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ht="14.25" customHeight="1">
      <c r="A343" s="22"/>
      <c r="B343" s="35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ht="14.25" customHeight="1">
      <c r="A344" s="22"/>
      <c r="B344" s="35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ht="14.25" customHeight="1">
      <c r="A345" s="22"/>
      <c r="B345" s="35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ht="14.25" customHeight="1">
      <c r="A346" s="22"/>
      <c r="B346" s="35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ht="14.25" customHeight="1">
      <c r="A347" s="22"/>
      <c r="B347" s="35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ht="14.25" customHeight="1">
      <c r="A348" s="22"/>
      <c r="B348" s="35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ht="14.25" customHeight="1">
      <c r="A349" s="22"/>
      <c r="B349" s="35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ht="14.25" customHeight="1">
      <c r="A350" s="22"/>
      <c r="B350" s="35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ht="14.25" customHeight="1">
      <c r="A351" s="22"/>
      <c r="B351" s="35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ht="14.25" customHeight="1">
      <c r="A352" s="22"/>
      <c r="B352" s="35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ht="14.25" customHeight="1">
      <c r="A353" s="22"/>
      <c r="B353" s="35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ht="14.25" customHeight="1">
      <c r="A354" s="22"/>
      <c r="B354" s="35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ht="14.25" customHeight="1">
      <c r="A355" s="22"/>
      <c r="B355" s="35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ht="14.25" customHeight="1">
      <c r="A356" s="22"/>
      <c r="B356" s="35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ht="14.25" customHeight="1">
      <c r="A357" s="22"/>
      <c r="B357" s="35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ht="14.25" customHeight="1">
      <c r="A358" s="22"/>
      <c r="B358" s="35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ht="14.25" customHeight="1">
      <c r="A359" s="22"/>
      <c r="B359" s="35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ht="14.25" customHeight="1">
      <c r="A360" s="22"/>
      <c r="B360" s="35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ht="14.25" customHeight="1">
      <c r="A361" s="22"/>
      <c r="B361" s="35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ht="14.25" customHeight="1">
      <c r="A362" s="22"/>
      <c r="B362" s="35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ht="14.25" customHeight="1">
      <c r="A363" s="22"/>
      <c r="B363" s="35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ht="14.25" customHeight="1">
      <c r="A364" s="22"/>
      <c r="B364" s="35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ht="14.25" customHeight="1">
      <c r="A365" s="22"/>
      <c r="B365" s="35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ht="14.25" customHeight="1">
      <c r="A366" s="22"/>
      <c r="B366" s="35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ht="14.25" customHeight="1">
      <c r="A367" s="22"/>
      <c r="B367" s="35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ht="14.25" customHeight="1">
      <c r="A368" s="22"/>
      <c r="B368" s="35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ht="14.25" customHeight="1">
      <c r="A369" s="22"/>
      <c r="B369" s="35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ht="14.25" customHeight="1">
      <c r="A370" s="22"/>
      <c r="B370" s="35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ht="14.25" customHeight="1">
      <c r="A371" s="22"/>
      <c r="B371" s="35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ht="14.25" customHeight="1">
      <c r="A372" s="22"/>
      <c r="B372" s="35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ht="14.25" customHeight="1">
      <c r="A373" s="22"/>
      <c r="B373" s="35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ht="14.25" customHeight="1">
      <c r="A374" s="22"/>
      <c r="B374" s="35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ht="14.25" customHeight="1">
      <c r="A375" s="22"/>
      <c r="B375" s="35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ht="14.25" customHeight="1">
      <c r="A376" s="22"/>
      <c r="B376" s="35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ht="14.25" customHeight="1">
      <c r="A377" s="22"/>
      <c r="B377" s="35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ht="14.25" customHeight="1">
      <c r="A378" s="22"/>
      <c r="B378" s="35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ht="14.25" customHeight="1">
      <c r="A379" s="22"/>
      <c r="B379" s="35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ht="14.25" customHeight="1">
      <c r="A380" s="22"/>
      <c r="B380" s="35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ht="14.25" customHeight="1">
      <c r="A381" s="22"/>
      <c r="B381" s="35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ht="14.25" customHeight="1">
      <c r="A382" s="22"/>
      <c r="B382" s="35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ht="14.25" customHeight="1">
      <c r="A383" s="22"/>
      <c r="B383" s="35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ht="14.25" customHeight="1">
      <c r="A384" s="22"/>
      <c r="B384" s="35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ht="14.25" customHeight="1">
      <c r="A385" s="22"/>
      <c r="B385" s="35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ht="14.25" customHeight="1">
      <c r="A386" s="22"/>
      <c r="B386" s="35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ht="14.25" customHeight="1">
      <c r="A387" s="22"/>
      <c r="B387" s="35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ht="14.25" customHeight="1">
      <c r="A388" s="22"/>
      <c r="B388" s="35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ht="14.25" customHeight="1">
      <c r="A389" s="22"/>
      <c r="B389" s="35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ht="14.25" customHeight="1">
      <c r="A390" s="22"/>
      <c r="B390" s="35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ht="14.25" customHeight="1">
      <c r="A391" s="22"/>
      <c r="B391" s="35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ht="14.25" customHeight="1">
      <c r="A392" s="22"/>
      <c r="B392" s="35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ht="14.25" customHeight="1">
      <c r="A393" s="22"/>
      <c r="B393" s="35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ht="14.25" customHeight="1">
      <c r="A394" s="22"/>
      <c r="B394" s="35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ht="14.25" customHeight="1">
      <c r="A395" s="22"/>
      <c r="B395" s="35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ht="14.25" customHeight="1">
      <c r="A396" s="22"/>
      <c r="B396" s="35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ht="14.25" customHeight="1">
      <c r="A397" s="22"/>
      <c r="B397" s="35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ht="14.25" customHeight="1">
      <c r="A398" s="22"/>
      <c r="B398" s="35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ht="14.25" customHeight="1">
      <c r="A399" s="22"/>
      <c r="B399" s="35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ht="14.25" customHeight="1">
      <c r="A400" s="22"/>
      <c r="B400" s="35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ht="14.25" customHeight="1">
      <c r="A401" s="22"/>
      <c r="B401" s="35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ht="14.25" customHeight="1">
      <c r="A402" s="22"/>
      <c r="B402" s="35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ht="14.25" customHeight="1">
      <c r="A403" s="22"/>
      <c r="B403" s="35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ht="14.25" customHeight="1">
      <c r="A404" s="22"/>
      <c r="B404" s="35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ht="14.25" customHeight="1">
      <c r="A405" s="22"/>
      <c r="B405" s="35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ht="14.25" customHeight="1">
      <c r="A406" s="22"/>
      <c r="B406" s="35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ht="14.25" customHeight="1">
      <c r="A407" s="22"/>
      <c r="B407" s="35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ht="14.25" customHeight="1">
      <c r="A408" s="22"/>
      <c r="B408" s="35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ht="14.25" customHeight="1">
      <c r="A409" s="22"/>
      <c r="B409" s="35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ht="14.25" customHeight="1">
      <c r="A410" s="22"/>
      <c r="B410" s="35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ht="14.25" customHeight="1">
      <c r="A411" s="22"/>
      <c r="B411" s="35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ht="14.25" customHeight="1">
      <c r="A412" s="22"/>
      <c r="B412" s="35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ht="14.25" customHeight="1">
      <c r="A413" s="22"/>
      <c r="B413" s="35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ht="14.25" customHeight="1">
      <c r="A414" s="22"/>
      <c r="B414" s="35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ht="14.25" customHeight="1">
      <c r="A415" s="22"/>
      <c r="B415" s="35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ht="14.25" customHeight="1">
      <c r="A416" s="22"/>
      <c r="B416" s="35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ht="14.25" customHeight="1">
      <c r="A417" s="22"/>
      <c r="B417" s="35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ht="14.25" customHeight="1">
      <c r="A418" s="22"/>
      <c r="B418" s="35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ht="14.25" customHeight="1">
      <c r="A419" s="22"/>
      <c r="B419" s="35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ht="14.25" customHeight="1">
      <c r="A420" s="22"/>
      <c r="B420" s="35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ht="14.25" customHeight="1">
      <c r="A421" s="22"/>
      <c r="B421" s="35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ht="14.25" customHeight="1">
      <c r="A422" s="22"/>
      <c r="B422" s="35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ht="14.25" customHeight="1">
      <c r="A423" s="22"/>
      <c r="B423" s="35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ht="14.25" customHeight="1">
      <c r="A424" s="22"/>
      <c r="B424" s="35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ht="14.25" customHeight="1">
      <c r="A425" s="22"/>
      <c r="B425" s="35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ht="14.25" customHeight="1">
      <c r="A426" s="22"/>
      <c r="B426" s="35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ht="14.25" customHeight="1">
      <c r="A427" s="22"/>
      <c r="B427" s="35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ht="14.25" customHeight="1">
      <c r="A428" s="22"/>
      <c r="B428" s="35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ht="14.25" customHeight="1">
      <c r="A429" s="22"/>
      <c r="B429" s="35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ht="14.25" customHeight="1">
      <c r="A430" s="22"/>
      <c r="B430" s="35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ht="14.25" customHeight="1">
      <c r="A431" s="22"/>
      <c r="B431" s="35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ht="14.25" customHeight="1">
      <c r="A432" s="22"/>
      <c r="B432" s="35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ht="14.25" customHeight="1">
      <c r="A433" s="22"/>
      <c r="B433" s="35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ht="14.25" customHeight="1">
      <c r="A434" s="22"/>
      <c r="B434" s="35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ht="14.25" customHeight="1">
      <c r="A435" s="22"/>
      <c r="B435" s="35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ht="14.25" customHeight="1">
      <c r="A436" s="22"/>
      <c r="B436" s="35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ht="14.25" customHeight="1">
      <c r="A437" s="22"/>
      <c r="B437" s="35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ht="14.25" customHeight="1">
      <c r="A438" s="22"/>
      <c r="B438" s="35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ht="14.25" customHeight="1">
      <c r="A439" s="22"/>
      <c r="B439" s="35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ht="14.25" customHeight="1">
      <c r="A440" s="22"/>
      <c r="B440" s="35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ht="14.25" customHeight="1">
      <c r="A441" s="22"/>
      <c r="B441" s="35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ht="14.25" customHeight="1">
      <c r="A442" s="22"/>
      <c r="B442" s="35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ht="14.25" customHeight="1">
      <c r="A443" s="22"/>
      <c r="B443" s="35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ht="14.25" customHeight="1">
      <c r="A444" s="22"/>
      <c r="B444" s="35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ht="14.25" customHeight="1">
      <c r="A445" s="22"/>
      <c r="B445" s="35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ht="14.25" customHeight="1">
      <c r="A446" s="22"/>
      <c r="B446" s="35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ht="14.25" customHeight="1">
      <c r="A447" s="22"/>
      <c r="B447" s="35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ht="14.25" customHeight="1">
      <c r="A448" s="22"/>
      <c r="B448" s="35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ht="14.25" customHeight="1">
      <c r="A449" s="22"/>
      <c r="B449" s="35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ht="14.25" customHeight="1">
      <c r="A450" s="22"/>
      <c r="B450" s="35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ht="14.25" customHeight="1">
      <c r="A451" s="22"/>
      <c r="B451" s="35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ht="14.25" customHeight="1">
      <c r="A452" s="22"/>
      <c r="B452" s="35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ht="14.25" customHeight="1">
      <c r="A453" s="22"/>
      <c r="B453" s="35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ht="14.25" customHeight="1">
      <c r="A454" s="22"/>
      <c r="B454" s="35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ht="14.25" customHeight="1">
      <c r="A455" s="22"/>
      <c r="B455" s="35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ht="14.25" customHeight="1">
      <c r="A456" s="22"/>
      <c r="B456" s="35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ht="14.25" customHeight="1">
      <c r="A457" s="22"/>
      <c r="B457" s="35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ht="14.25" customHeight="1">
      <c r="A458" s="22"/>
      <c r="B458" s="35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ht="14.25" customHeight="1">
      <c r="A459" s="22"/>
      <c r="B459" s="35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ht="14.25" customHeight="1">
      <c r="A460" s="22"/>
      <c r="B460" s="35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ht="14.25" customHeight="1">
      <c r="A461" s="22"/>
      <c r="B461" s="35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ht="14.25" customHeight="1">
      <c r="A462" s="22"/>
      <c r="B462" s="35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ht="14.25" customHeight="1">
      <c r="A463" s="22"/>
      <c r="B463" s="35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ht="14.25" customHeight="1">
      <c r="A464" s="22"/>
      <c r="B464" s="35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ht="14.25" customHeight="1">
      <c r="A465" s="22"/>
      <c r="B465" s="35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ht="14.25" customHeight="1">
      <c r="A466" s="22"/>
      <c r="B466" s="35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ht="14.25" customHeight="1">
      <c r="A467" s="22"/>
      <c r="B467" s="35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ht="14.25" customHeight="1">
      <c r="A468" s="22"/>
      <c r="B468" s="35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ht="14.25" customHeight="1">
      <c r="A469" s="22"/>
      <c r="B469" s="35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ht="14.25" customHeight="1">
      <c r="A470" s="22"/>
      <c r="B470" s="35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ht="14.25" customHeight="1">
      <c r="A471" s="22"/>
      <c r="B471" s="35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ht="14.25" customHeight="1">
      <c r="A472" s="22"/>
      <c r="B472" s="35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ht="14.25" customHeight="1">
      <c r="A473" s="22"/>
      <c r="B473" s="35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ht="14.25" customHeight="1">
      <c r="A474" s="22"/>
      <c r="B474" s="35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ht="14.25" customHeight="1">
      <c r="A475" s="22"/>
      <c r="B475" s="35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ht="14.25" customHeight="1">
      <c r="A476" s="22"/>
      <c r="B476" s="35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ht="14.25" customHeight="1">
      <c r="A477" s="22"/>
      <c r="B477" s="35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ht="14.25" customHeight="1">
      <c r="A478" s="22"/>
      <c r="B478" s="35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ht="14.25" customHeight="1">
      <c r="A479" s="22"/>
      <c r="B479" s="35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ht="14.25" customHeight="1">
      <c r="A480" s="22"/>
      <c r="B480" s="35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ht="14.25" customHeight="1">
      <c r="A481" s="22"/>
      <c r="B481" s="35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ht="14.25" customHeight="1">
      <c r="A482" s="22"/>
      <c r="B482" s="35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ht="14.25" customHeight="1">
      <c r="A483" s="22"/>
      <c r="B483" s="35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ht="14.25" customHeight="1">
      <c r="A484" s="22"/>
      <c r="B484" s="35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ht="14.25" customHeight="1">
      <c r="A485" s="22"/>
      <c r="B485" s="35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ht="14.25" customHeight="1">
      <c r="A486" s="22"/>
      <c r="B486" s="35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ht="14.25" customHeight="1">
      <c r="A487" s="22"/>
      <c r="B487" s="35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ht="14.25" customHeight="1">
      <c r="A488" s="22"/>
      <c r="B488" s="35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ht="14.25" customHeight="1">
      <c r="A489" s="22"/>
      <c r="B489" s="35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ht="14.25" customHeight="1">
      <c r="A490" s="22"/>
      <c r="B490" s="35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ht="14.25" customHeight="1">
      <c r="A491" s="22"/>
      <c r="B491" s="35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ht="14.25" customHeight="1">
      <c r="A492" s="22"/>
      <c r="B492" s="35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ht="14.25" customHeight="1">
      <c r="A493" s="22"/>
      <c r="B493" s="35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ht="14.25" customHeight="1">
      <c r="A494" s="22"/>
      <c r="B494" s="35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ht="14.25" customHeight="1">
      <c r="A495" s="22"/>
      <c r="B495" s="35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ht="14.25" customHeight="1">
      <c r="A496" s="22"/>
      <c r="B496" s="35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ht="14.25" customHeight="1">
      <c r="A497" s="22"/>
      <c r="B497" s="35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ht="14.25" customHeight="1">
      <c r="A498" s="22"/>
      <c r="B498" s="35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ht="14.25" customHeight="1">
      <c r="A499" s="22"/>
      <c r="B499" s="35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ht="14.25" customHeight="1">
      <c r="A500" s="22"/>
      <c r="B500" s="35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ht="14.25" customHeight="1">
      <c r="A501" s="22"/>
      <c r="B501" s="35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ht="14.25" customHeight="1">
      <c r="A502" s="22"/>
      <c r="B502" s="35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ht="14.25" customHeight="1">
      <c r="A503" s="22"/>
      <c r="B503" s="35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ht="14.25" customHeight="1">
      <c r="A504" s="22"/>
      <c r="B504" s="35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ht="14.25" customHeight="1">
      <c r="A505" s="22"/>
      <c r="B505" s="35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ht="14.25" customHeight="1">
      <c r="A506" s="22"/>
      <c r="B506" s="35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ht="14.25" customHeight="1">
      <c r="A507" s="22"/>
      <c r="B507" s="35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ht="14.25" customHeight="1">
      <c r="A508" s="22"/>
      <c r="B508" s="35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ht="14.25" customHeight="1">
      <c r="A509" s="22"/>
      <c r="B509" s="35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ht="14.25" customHeight="1">
      <c r="A510" s="22"/>
      <c r="B510" s="35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ht="14.25" customHeight="1">
      <c r="A511" s="22"/>
      <c r="B511" s="35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ht="14.25" customHeight="1">
      <c r="A512" s="22"/>
      <c r="B512" s="35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ht="14.25" customHeight="1">
      <c r="A513" s="22"/>
      <c r="B513" s="35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ht="14.25" customHeight="1">
      <c r="A514" s="22"/>
      <c r="B514" s="35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ht="14.25" customHeight="1">
      <c r="A515" s="22"/>
      <c r="B515" s="35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ht="14.25" customHeight="1">
      <c r="A516" s="22"/>
      <c r="B516" s="35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ht="14.25" customHeight="1">
      <c r="A517" s="22"/>
      <c r="B517" s="35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ht="14.25" customHeight="1">
      <c r="A518" s="22"/>
      <c r="B518" s="35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ht="14.25" customHeight="1">
      <c r="A519" s="22"/>
      <c r="B519" s="35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ht="14.25" customHeight="1">
      <c r="A520" s="22"/>
      <c r="B520" s="35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ht="14.25" customHeight="1">
      <c r="A521" s="22"/>
      <c r="B521" s="35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ht="14.25" customHeight="1">
      <c r="A522" s="22"/>
      <c r="B522" s="35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ht="14.25" customHeight="1">
      <c r="A523" s="22"/>
      <c r="B523" s="35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ht="14.25" customHeight="1">
      <c r="A524" s="22"/>
      <c r="B524" s="35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ht="14.25" customHeight="1">
      <c r="A525" s="22"/>
      <c r="B525" s="35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ht="14.25" customHeight="1">
      <c r="A526" s="22"/>
      <c r="B526" s="35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ht="14.25" customHeight="1">
      <c r="A527" s="22"/>
      <c r="B527" s="35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ht="14.25" customHeight="1">
      <c r="A528" s="22"/>
      <c r="B528" s="35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ht="14.25" customHeight="1">
      <c r="A529" s="22"/>
      <c r="B529" s="35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ht="14.25" customHeight="1">
      <c r="A530" s="22"/>
      <c r="B530" s="35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ht="14.25" customHeight="1">
      <c r="A531" s="22"/>
      <c r="B531" s="35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ht="14.25" customHeight="1">
      <c r="A532" s="22"/>
      <c r="B532" s="35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ht="14.25" customHeight="1">
      <c r="A533" s="22"/>
      <c r="B533" s="35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ht="14.25" customHeight="1">
      <c r="A534" s="22"/>
      <c r="B534" s="35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ht="14.25" customHeight="1">
      <c r="A535" s="22"/>
      <c r="B535" s="35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ht="14.25" customHeight="1">
      <c r="A536" s="22"/>
      <c r="B536" s="35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ht="14.25" customHeight="1">
      <c r="A537" s="22"/>
      <c r="B537" s="35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ht="14.25" customHeight="1">
      <c r="A538" s="22"/>
      <c r="B538" s="35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ht="14.25" customHeight="1">
      <c r="A539" s="22"/>
      <c r="B539" s="35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ht="14.25" customHeight="1">
      <c r="A540" s="22"/>
      <c r="B540" s="35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ht="14.25" customHeight="1">
      <c r="A541" s="22"/>
      <c r="B541" s="35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ht="14.25" customHeight="1">
      <c r="A542" s="22"/>
      <c r="B542" s="35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ht="14.25" customHeight="1">
      <c r="A543" s="22"/>
      <c r="B543" s="35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ht="14.25" customHeight="1">
      <c r="A544" s="22"/>
      <c r="B544" s="35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ht="14.25" customHeight="1">
      <c r="A545" s="22"/>
      <c r="B545" s="35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ht="14.25" customHeight="1">
      <c r="A546" s="22"/>
      <c r="B546" s="35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ht="14.25" customHeight="1">
      <c r="A547" s="22"/>
      <c r="B547" s="35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ht="14.25" customHeight="1">
      <c r="A548" s="22"/>
      <c r="B548" s="35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ht="14.25" customHeight="1">
      <c r="A549" s="22"/>
      <c r="B549" s="35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ht="14.25" customHeight="1">
      <c r="A550" s="22"/>
      <c r="B550" s="35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ht="14.25" customHeight="1">
      <c r="A551" s="22"/>
      <c r="B551" s="35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ht="14.25" customHeight="1">
      <c r="A552" s="22"/>
      <c r="B552" s="35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ht="14.25" customHeight="1">
      <c r="A553" s="22"/>
      <c r="B553" s="35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ht="14.25" customHeight="1">
      <c r="A554" s="22"/>
      <c r="B554" s="35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ht="14.25" customHeight="1">
      <c r="A555" s="22"/>
      <c r="B555" s="35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ht="14.25" customHeight="1">
      <c r="A556" s="22"/>
      <c r="B556" s="35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ht="14.25" customHeight="1">
      <c r="A557" s="22"/>
      <c r="B557" s="35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ht="14.25" customHeight="1">
      <c r="A558" s="22"/>
      <c r="B558" s="35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ht="14.25" customHeight="1">
      <c r="A559" s="22"/>
      <c r="B559" s="35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ht="14.25" customHeight="1">
      <c r="A560" s="22"/>
      <c r="B560" s="35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ht="14.25" customHeight="1">
      <c r="A561" s="22"/>
      <c r="B561" s="35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ht="14.25" customHeight="1">
      <c r="A562" s="22"/>
      <c r="B562" s="35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ht="14.25" customHeight="1">
      <c r="A563" s="22"/>
      <c r="B563" s="35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ht="14.25" customHeight="1">
      <c r="A564" s="22"/>
      <c r="B564" s="35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ht="14.25" customHeight="1">
      <c r="A565" s="22"/>
      <c r="B565" s="35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ht="14.25" customHeight="1">
      <c r="A566" s="22"/>
      <c r="B566" s="35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ht="14.25" customHeight="1">
      <c r="A567" s="22"/>
      <c r="B567" s="35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ht="14.25" customHeight="1">
      <c r="A568" s="22"/>
      <c r="B568" s="35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ht="14.25" customHeight="1">
      <c r="A569" s="22"/>
      <c r="B569" s="35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ht="14.25" customHeight="1">
      <c r="A570" s="22"/>
      <c r="B570" s="35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ht="14.25" customHeight="1">
      <c r="A571" s="22"/>
      <c r="B571" s="35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ht="14.25" customHeight="1">
      <c r="A572" s="22"/>
      <c r="B572" s="35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ht="14.25" customHeight="1">
      <c r="A573" s="22"/>
      <c r="B573" s="35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ht="14.25" customHeight="1">
      <c r="A574" s="22"/>
      <c r="B574" s="35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ht="14.25" customHeight="1">
      <c r="A575" s="22"/>
      <c r="B575" s="35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ht="14.25" customHeight="1">
      <c r="A576" s="22"/>
      <c r="B576" s="35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ht="14.25" customHeight="1">
      <c r="A577" s="22"/>
      <c r="B577" s="35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ht="14.25" customHeight="1">
      <c r="A578" s="22"/>
      <c r="B578" s="35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ht="14.25" customHeight="1">
      <c r="A579" s="22"/>
      <c r="B579" s="35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ht="14.25" customHeight="1">
      <c r="A580" s="22"/>
      <c r="B580" s="35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ht="14.25" customHeight="1">
      <c r="A581" s="22"/>
      <c r="B581" s="35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ht="14.25" customHeight="1">
      <c r="A582" s="22"/>
      <c r="B582" s="35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ht="14.25" customHeight="1">
      <c r="A583" s="22"/>
      <c r="B583" s="35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ht="14.25" customHeight="1">
      <c r="A584" s="22"/>
      <c r="B584" s="35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ht="14.25" customHeight="1">
      <c r="A585" s="22"/>
      <c r="B585" s="35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ht="14.25" customHeight="1">
      <c r="A586" s="22"/>
      <c r="B586" s="35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ht="14.25" customHeight="1">
      <c r="A587" s="22"/>
      <c r="B587" s="35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ht="14.25" customHeight="1">
      <c r="A588" s="22"/>
      <c r="B588" s="35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ht="14.25" customHeight="1">
      <c r="A589" s="22"/>
      <c r="B589" s="35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ht="14.25" customHeight="1">
      <c r="A590" s="22"/>
      <c r="B590" s="35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ht="14.25" customHeight="1">
      <c r="A591" s="22"/>
      <c r="B591" s="35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ht="14.25" customHeight="1">
      <c r="A592" s="22"/>
      <c r="B592" s="35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ht="14.25" customHeight="1">
      <c r="A593" s="22"/>
      <c r="B593" s="35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ht="14.25" customHeight="1">
      <c r="A594" s="22"/>
      <c r="B594" s="35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ht="14.25" customHeight="1">
      <c r="A595" s="22"/>
      <c r="B595" s="35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ht="14.25" customHeight="1">
      <c r="A596" s="22"/>
      <c r="B596" s="35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ht="14.25" customHeight="1">
      <c r="A597" s="22"/>
      <c r="B597" s="35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ht="14.25" customHeight="1">
      <c r="A598" s="22"/>
      <c r="B598" s="35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ht="14.25" customHeight="1">
      <c r="A599" s="22"/>
      <c r="B599" s="35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ht="14.25" customHeight="1">
      <c r="A600" s="22"/>
      <c r="B600" s="35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ht="14.25" customHeight="1">
      <c r="A601" s="22"/>
      <c r="B601" s="35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ht="14.25" customHeight="1">
      <c r="A602" s="22"/>
      <c r="B602" s="35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ht="14.25" customHeight="1">
      <c r="A603" s="22"/>
      <c r="B603" s="35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ht="14.25" customHeight="1">
      <c r="A604" s="22"/>
      <c r="B604" s="35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ht="14.25" customHeight="1">
      <c r="A605" s="22"/>
      <c r="B605" s="35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ht="14.25" customHeight="1">
      <c r="A606" s="22"/>
      <c r="B606" s="35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ht="14.25" customHeight="1">
      <c r="A607" s="22"/>
      <c r="B607" s="35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ht="14.25" customHeight="1">
      <c r="A608" s="22"/>
      <c r="B608" s="35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ht="14.25" customHeight="1">
      <c r="A609" s="22"/>
      <c r="B609" s="35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ht="14.25" customHeight="1">
      <c r="A610" s="22"/>
      <c r="B610" s="35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ht="14.25" customHeight="1">
      <c r="A611" s="22"/>
      <c r="B611" s="35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ht="14.25" customHeight="1">
      <c r="A612" s="22"/>
      <c r="B612" s="35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ht="14.25" customHeight="1">
      <c r="A613" s="22"/>
      <c r="B613" s="35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ht="14.25" customHeight="1">
      <c r="A614" s="22"/>
      <c r="B614" s="35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ht="14.25" customHeight="1">
      <c r="A615" s="22"/>
      <c r="B615" s="35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ht="14.25" customHeight="1">
      <c r="A616" s="22"/>
      <c r="B616" s="35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ht="14.25" customHeight="1">
      <c r="A617" s="22"/>
      <c r="B617" s="35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ht="14.25" customHeight="1">
      <c r="A618" s="22"/>
      <c r="B618" s="35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ht="14.25" customHeight="1">
      <c r="A619" s="22"/>
      <c r="B619" s="35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ht="14.25" customHeight="1">
      <c r="A620" s="22"/>
      <c r="B620" s="35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ht="14.25" customHeight="1">
      <c r="A621" s="22"/>
      <c r="B621" s="35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ht="14.25" customHeight="1">
      <c r="A622" s="22"/>
      <c r="B622" s="35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ht="14.25" customHeight="1">
      <c r="A623" s="22"/>
      <c r="B623" s="35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ht="14.25" customHeight="1">
      <c r="A624" s="22"/>
      <c r="B624" s="35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ht="14.25" customHeight="1">
      <c r="A625" s="22"/>
      <c r="B625" s="35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ht="14.25" customHeight="1">
      <c r="A626" s="22"/>
      <c r="B626" s="35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ht="14.25" customHeight="1">
      <c r="A627" s="22"/>
      <c r="B627" s="35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ht="14.25" customHeight="1">
      <c r="A628" s="22"/>
      <c r="B628" s="35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ht="14.25" customHeight="1">
      <c r="A629" s="22"/>
      <c r="B629" s="35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ht="14.25" customHeight="1">
      <c r="A630" s="22"/>
      <c r="B630" s="35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ht="14.25" customHeight="1">
      <c r="A631" s="22"/>
      <c r="B631" s="35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ht="14.25" customHeight="1">
      <c r="A632" s="22"/>
      <c r="B632" s="35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ht="14.25" customHeight="1">
      <c r="A633" s="22"/>
      <c r="B633" s="35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ht="14.25" customHeight="1">
      <c r="A634" s="22"/>
      <c r="B634" s="35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ht="14.25" customHeight="1">
      <c r="A635" s="22"/>
      <c r="B635" s="35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ht="14.25" customHeight="1">
      <c r="A636" s="22"/>
      <c r="B636" s="35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ht="14.25" customHeight="1">
      <c r="A637" s="22"/>
      <c r="B637" s="35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ht="14.25" customHeight="1">
      <c r="A638" s="22"/>
      <c r="B638" s="35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ht="14.25" customHeight="1">
      <c r="A639" s="22"/>
      <c r="B639" s="35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ht="14.25" customHeight="1">
      <c r="A640" s="22"/>
      <c r="B640" s="35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ht="14.25" customHeight="1">
      <c r="A641" s="22"/>
      <c r="B641" s="35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ht="14.25" customHeight="1">
      <c r="A642" s="22"/>
      <c r="B642" s="35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ht="14.25" customHeight="1">
      <c r="A643" s="22"/>
      <c r="B643" s="35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ht="14.25" customHeight="1">
      <c r="A644" s="22"/>
      <c r="B644" s="35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ht="14.25" customHeight="1">
      <c r="A645" s="22"/>
      <c r="B645" s="35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ht="14.25" customHeight="1">
      <c r="A646" s="22"/>
      <c r="B646" s="35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ht="14.25" customHeight="1">
      <c r="A647" s="22"/>
      <c r="B647" s="35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ht="14.25" customHeight="1">
      <c r="A648" s="22"/>
      <c r="B648" s="35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ht="14.25" customHeight="1">
      <c r="A649" s="22"/>
      <c r="B649" s="35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ht="14.25" customHeight="1">
      <c r="A650" s="22"/>
      <c r="B650" s="35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ht="14.25" customHeight="1">
      <c r="A651" s="22"/>
      <c r="B651" s="35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ht="14.25" customHeight="1">
      <c r="A652" s="22"/>
      <c r="B652" s="35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ht="14.25" customHeight="1">
      <c r="A653" s="22"/>
      <c r="B653" s="35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ht="14.25" customHeight="1">
      <c r="A654" s="22"/>
      <c r="B654" s="35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ht="14.25" customHeight="1">
      <c r="A655" s="22"/>
      <c r="B655" s="35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ht="14.25" customHeight="1">
      <c r="A656" s="22"/>
      <c r="B656" s="35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ht="14.25" customHeight="1">
      <c r="A657" s="22"/>
      <c r="B657" s="35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ht="14.25" customHeight="1">
      <c r="A658" s="22"/>
      <c r="B658" s="35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ht="14.25" customHeight="1">
      <c r="A659" s="22"/>
      <c r="B659" s="35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ht="14.25" customHeight="1">
      <c r="A660" s="22"/>
      <c r="B660" s="35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ht="14.25" customHeight="1">
      <c r="A661" s="22"/>
      <c r="B661" s="35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ht="14.25" customHeight="1">
      <c r="A662" s="22"/>
      <c r="B662" s="35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ht="14.25" customHeight="1">
      <c r="A663" s="22"/>
      <c r="B663" s="35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ht="14.25" customHeight="1">
      <c r="A664" s="22"/>
      <c r="B664" s="35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ht="14.25" customHeight="1">
      <c r="A665" s="22"/>
      <c r="B665" s="35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ht="14.25" customHeight="1">
      <c r="A666" s="22"/>
      <c r="B666" s="35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ht="14.25" customHeight="1">
      <c r="A667" s="22"/>
      <c r="B667" s="35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ht="14.25" customHeight="1">
      <c r="A668" s="22"/>
      <c r="B668" s="35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ht="14.25" customHeight="1">
      <c r="A669" s="22"/>
      <c r="B669" s="35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ht="14.25" customHeight="1">
      <c r="A670" s="22"/>
      <c r="B670" s="35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ht="14.25" customHeight="1">
      <c r="A671" s="22"/>
      <c r="B671" s="35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ht="14.25" customHeight="1">
      <c r="A672" s="22"/>
      <c r="B672" s="35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ht="14.25" customHeight="1">
      <c r="A673" s="22"/>
      <c r="B673" s="35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ht="14.25" customHeight="1">
      <c r="A674" s="22"/>
      <c r="B674" s="35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ht="14.25" customHeight="1">
      <c r="A675" s="22"/>
      <c r="B675" s="35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ht="14.25" customHeight="1">
      <c r="A676" s="22"/>
      <c r="B676" s="35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ht="14.25" customHeight="1">
      <c r="A677" s="22"/>
      <c r="B677" s="35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ht="14.25" customHeight="1">
      <c r="A678" s="22"/>
      <c r="B678" s="35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ht="14.25" customHeight="1">
      <c r="A679" s="22"/>
      <c r="B679" s="35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ht="14.25" customHeight="1">
      <c r="A680" s="22"/>
      <c r="B680" s="35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ht="14.25" customHeight="1">
      <c r="A681" s="22"/>
      <c r="B681" s="35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ht="14.25" customHeight="1">
      <c r="A682" s="22"/>
      <c r="B682" s="35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ht="14.25" customHeight="1">
      <c r="A683" s="22"/>
      <c r="B683" s="35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ht="14.25" customHeight="1">
      <c r="A684" s="22"/>
      <c r="B684" s="35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ht="14.25" customHeight="1">
      <c r="A685" s="22"/>
      <c r="B685" s="35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ht="14.25" customHeight="1">
      <c r="A686" s="22"/>
      <c r="B686" s="35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ht="14.25" customHeight="1">
      <c r="A687" s="22"/>
      <c r="B687" s="35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ht="14.25" customHeight="1">
      <c r="A688" s="22"/>
      <c r="B688" s="35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ht="14.25" customHeight="1">
      <c r="A689" s="22"/>
      <c r="B689" s="35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ht="14.25" customHeight="1">
      <c r="A690" s="22"/>
      <c r="B690" s="35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ht="14.25" customHeight="1">
      <c r="A691" s="22"/>
      <c r="B691" s="35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ht="14.25" customHeight="1">
      <c r="A692" s="22"/>
      <c r="B692" s="35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ht="14.25" customHeight="1">
      <c r="A693" s="22"/>
      <c r="B693" s="35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ht="14.25" customHeight="1">
      <c r="A694" s="22"/>
      <c r="B694" s="35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ht="14.25" customHeight="1">
      <c r="A695" s="22"/>
      <c r="B695" s="35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ht="14.25" customHeight="1">
      <c r="A696" s="22"/>
      <c r="B696" s="35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ht="14.25" customHeight="1">
      <c r="A697" s="22"/>
      <c r="B697" s="35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ht="14.25" customHeight="1">
      <c r="A698" s="22"/>
      <c r="B698" s="35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ht="14.25" customHeight="1">
      <c r="A699" s="22"/>
      <c r="B699" s="35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ht="14.25" customHeight="1">
      <c r="A700" s="22"/>
      <c r="B700" s="35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ht="14.25" customHeight="1">
      <c r="A701" s="22"/>
      <c r="B701" s="35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ht="14.25" customHeight="1">
      <c r="A702" s="22"/>
      <c r="B702" s="35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ht="14.25" customHeight="1">
      <c r="A703" s="22"/>
      <c r="B703" s="35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ht="14.25" customHeight="1">
      <c r="A704" s="22"/>
      <c r="B704" s="35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ht="14.25" customHeight="1">
      <c r="A705" s="22"/>
      <c r="B705" s="35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ht="14.25" customHeight="1">
      <c r="A706" s="22"/>
      <c r="B706" s="35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ht="14.25" customHeight="1">
      <c r="A707" s="22"/>
      <c r="B707" s="35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ht="14.25" customHeight="1">
      <c r="A708" s="22"/>
      <c r="B708" s="35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ht="14.25" customHeight="1">
      <c r="A709" s="22"/>
      <c r="B709" s="35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ht="14.25" customHeight="1">
      <c r="A710" s="22"/>
      <c r="B710" s="35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ht="14.25" customHeight="1">
      <c r="A711" s="22"/>
      <c r="B711" s="35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ht="14.25" customHeight="1">
      <c r="A712" s="22"/>
      <c r="B712" s="35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ht="14.25" customHeight="1">
      <c r="A713" s="22"/>
      <c r="B713" s="35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ht="14.25" customHeight="1">
      <c r="A714" s="22"/>
      <c r="B714" s="35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ht="14.25" customHeight="1">
      <c r="A715" s="22"/>
      <c r="B715" s="35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ht="14.25" customHeight="1">
      <c r="A716" s="22"/>
      <c r="B716" s="35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ht="14.25" customHeight="1">
      <c r="A717" s="22"/>
      <c r="B717" s="35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ht="14.25" customHeight="1">
      <c r="A718" s="22"/>
      <c r="B718" s="35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ht="14.25" customHeight="1">
      <c r="A719" s="22"/>
      <c r="B719" s="35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ht="14.25" customHeight="1">
      <c r="A720" s="22"/>
      <c r="B720" s="35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ht="14.25" customHeight="1">
      <c r="A721" s="22"/>
      <c r="B721" s="35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ht="14.25" customHeight="1">
      <c r="A722" s="22"/>
      <c r="B722" s="35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ht="14.25" customHeight="1">
      <c r="A723" s="22"/>
      <c r="B723" s="35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ht="14.25" customHeight="1">
      <c r="A724" s="22"/>
      <c r="B724" s="35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ht="14.25" customHeight="1">
      <c r="A725" s="22"/>
      <c r="B725" s="35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ht="14.25" customHeight="1">
      <c r="A726" s="22"/>
      <c r="B726" s="35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ht="14.25" customHeight="1">
      <c r="A727" s="22"/>
      <c r="B727" s="35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ht="14.25" customHeight="1">
      <c r="A728" s="22"/>
      <c r="B728" s="35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ht="14.25" customHeight="1">
      <c r="A729" s="22"/>
      <c r="B729" s="35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ht="14.25" customHeight="1">
      <c r="A730" s="22"/>
      <c r="B730" s="35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ht="14.25" customHeight="1">
      <c r="A731" s="22"/>
      <c r="B731" s="35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ht="14.25" customHeight="1">
      <c r="A732" s="22"/>
      <c r="B732" s="35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ht="14.25" customHeight="1">
      <c r="A733" s="22"/>
      <c r="B733" s="35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ht="14.25" customHeight="1">
      <c r="A734" s="22"/>
      <c r="B734" s="35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ht="14.25" customHeight="1">
      <c r="A735" s="22"/>
      <c r="B735" s="35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ht="14.25" customHeight="1">
      <c r="A736" s="22"/>
      <c r="B736" s="35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ht="14.25" customHeight="1">
      <c r="A737" s="22"/>
      <c r="B737" s="35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ht="14.25" customHeight="1">
      <c r="A738" s="22"/>
      <c r="B738" s="35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ht="14.25" customHeight="1">
      <c r="A739" s="22"/>
      <c r="B739" s="35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ht="14.25" customHeight="1">
      <c r="A740" s="22"/>
      <c r="B740" s="35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ht="14.25" customHeight="1">
      <c r="A741" s="22"/>
      <c r="B741" s="35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ht="14.25" customHeight="1">
      <c r="A742" s="22"/>
      <c r="B742" s="35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ht="14.25" customHeight="1">
      <c r="A743" s="22"/>
      <c r="B743" s="35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ht="14.25" customHeight="1">
      <c r="A744" s="22"/>
      <c r="B744" s="35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ht="14.25" customHeight="1">
      <c r="A745" s="22"/>
      <c r="B745" s="35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ht="14.25" customHeight="1">
      <c r="A746" s="22"/>
      <c r="B746" s="35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ht="14.25" customHeight="1">
      <c r="A747" s="22"/>
      <c r="B747" s="35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ht="14.25" customHeight="1">
      <c r="A748" s="22"/>
      <c r="B748" s="35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ht="14.25" customHeight="1">
      <c r="A749" s="22"/>
      <c r="B749" s="35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ht="14.25" customHeight="1">
      <c r="A750" s="22"/>
      <c r="B750" s="35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ht="14.25" customHeight="1">
      <c r="A751" s="22"/>
      <c r="B751" s="35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ht="14.25" customHeight="1">
      <c r="A752" s="22"/>
      <c r="B752" s="35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ht="14.25" customHeight="1">
      <c r="A753" s="22"/>
      <c r="B753" s="35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ht="14.25" customHeight="1">
      <c r="A754" s="22"/>
      <c r="B754" s="35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ht="14.25" customHeight="1">
      <c r="A755" s="22"/>
      <c r="B755" s="35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ht="14.25" customHeight="1">
      <c r="A756" s="22"/>
      <c r="B756" s="35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ht="14.25" customHeight="1">
      <c r="A757" s="22"/>
      <c r="B757" s="35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ht="14.25" customHeight="1">
      <c r="A758" s="22"/>
      <c r="B758" s="35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ht="14.25" customHeight="1">
      <c r="A759" s="22"/>
      <c r="B759" s="35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ht="14.25" customHeight="1">
      <c r="A760" s="22"/>
      <c r="B760" s="35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ht="14.25" customHeight="1">
      <c r="A761" s="22"/>
      <c r="B761" s="35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ht="14.25" customHeight="1">
      <c r="A762" s="22"/>
      <c r="B762" s="35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ht="14.25" customHeight="1">
      <c r="A763" s="22"/>
      <c r="B763" s="35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ht="14.25" customHeight="1">
      <c r="A764" s="22"/>
      <c r="B764" s="35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ht="14.25" customHeight="1">
      <c r="A765" s="22"/>
      <c r="B765" s="35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ht="14.25" customHeight="1">
      <c r="A766" s="22"/>
      <c r="B766" s="35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ht="14.25" customHeight="1">
      <c r="A767" s="22"/>
      <c r="B767" s="35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ht="14.25" customHeight="1">
      <c r="A768" s="22"/>
      <c r="B768" s="35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ht="14.25" customHeight="1">
      <c r="A769" s="22"/>
      <c r="B769" s="35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ht="14.25" customHeight="1">
      <c r="A770" s="22"/>
      <c r="B770" s="35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ht="14.25" customHeight="1">
      <c r="A771" s="22"/>
      <c r="B771" s="35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ht="14.25" customHeight="1">
      <c r="A772" s="22"/>
      <c r="B772" s="35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ht="14.25" customHeight="1">
      <c r="A773" s="22"/>
      <c r="B773" s="35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ht="14.25" customHeight="1">
      <c r="A774" s="22"/>
      <c r="B774" s="35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ht="14.25" customHeight="1">
      <c r="A775" s="22"/>
      <c r="B775" s="35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ht="14.25" customHeight="1">
      <c r="A776" s="22"/>
      <c r="B776" s="35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ht="14.25" customHeight="1">
      <c r="A777" s="22"/>
      <c r="B777" s="35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ht="14.25" customHeight="1">
      <c r="A778" s="22"/>
      <c r="B778" s="35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ht="14.25" customHeight="1">
      <c r="A779" s="22"/>
      <c r="B779" s="35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ht="14.25" customHeight="1">
      <c r="A780" s="22"/>
      <c r="B780" s="35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ht="14.25" customHeight="1">
      <c r="A781" s="22"/>
      <c r="B781" s="35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ht="14.25" customHeight="1">
      <c r="A782" s="22"/>
      <c r="B782" s="35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ht="14.25" customHeight="1">
      <c r="A783" s="22"/>
      <c r="B783" s="35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ht="14.25" customHeight="1">
      <c r="A784" s="22"/>
      <c r="B784" s="35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ht="14.25" customHeight="1">
      <c r="A785" s="22"/>
      <c r="B785" s="35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ht="14.25" customHeight="1">
      <c r="A786" s="22"/>
      <c r="B786" s="35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ht="14.25" customHeight="1">
      <c r="A787" s="22"/>
      <c r="B787" s="35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ht="14.25" customHeight="1">
      <c r="A788" s="22"/>
      <c r="B788" s="35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ht="14.25" customHeight="1">
      <c r="A789" s="22"/>
      <c r="B789" s="35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ht="14.25" customHeight="1">
      <c r="A790" s="22"/>
      <c r="B790" s="35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ht="14.25" customHeight="1">
      <c r="A791" s="22"/>
      <c r="B791" s="35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ht="14.25" customHeight="1">
      <c r="A792" s="22"/>
      <c r="B792" s="35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ht="14.25" customHeight="1">
      <c r="A793" s="22"/>
      <c r="B793" s="35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ht="14.25" customHeight="1">
      <c r="A794" s="22"/>
      <c r="B794" s="35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ht="14.25" customHeight="1">
      <c r="A795" s="22"/>
      <c r="B795" s="35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ht="14.25" customHeight="1">
      <c r="A796" s="22"/>
      <c r="B796" s="35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ht="14.25" customHeight="1">
      <c r="A797" s="22"/>
      <c r="B797" s="35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ht="14.25" customHeight="1">
      <c r="A798" s="22"/>
      <c r="B798" s="35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ht="14.25" customHeight="1">
      <c r="A799" s="22"/>
      <c r="B799" s="35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ht="14.25" customHeight="1">
      <c r="A800" s="22"/>
      <c r="B800" s="35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ht="14.25" customHeight="1">
      <c r="A801" s="22"/>
      <c r="B801" s="35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ht="14.25" customHeight="1">
      <c r="A802" s="22"/>
      <c r="B802" s="35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ht="14.25" customHeight="1">
      <c r="A803" s="22"/>
      <c r="B803" s="35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ht="14.25" customHeight="1">
      <c r="A804" s="22"/>
      <c r="B804" s="35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ht="14.25" customHeight="1">
      <c r="A805" s="22"/>
      <c r="B805" s="35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ht="14.25" customHeight="1">
      <c r="A806" s="22"/>
      <c r="B806" s="35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ht="14.25" customHeight="1">
      <c r="A807" s="22"/>
      <c r="B807" s="35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ht="14.25" customHeight="1">
      <c r="A808" s="22"/>
      <c r="B808" s="35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ht="14.25" customHeight="1">
      <c r="A809" s="22"/>
      <c r="B809" s="35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ht="14.25" customHeight="1">
      <c r="A810" s="22"/>
      <c r="B810" s="35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ht="14.25" customHeight="1">
      <c r="A811" s="22"/>
      <c r="B811" s="35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ht="14.25" customHeight="1">
      <c r="A812" s="22"/>
      <c r="B812" s="35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ht="14.25" customHeight="1">
      <c r="A813" s="22"/>
      <c r="B813" s="35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ht="14.25" customHeight="1">
      <c r="A814" s="22"/>
      <c r="B814" s="35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ht="14.25" customHeight="1">
      <c r="A815" s="22"/>
      <c r="B815" s="35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ht="14.25" customHeight="1">
      <c r="A816" s="22"/>
      <c r="B816" s="35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ht="14.25" customHeight="1">
      <c r="A817" s="22"/>
      <c r="B817" s="35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ht="14.25" customHeight="1">
      <c r="A818" s="22"/>
      <c r="B818" s="35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ht="14.25" customHeight="1">
      <c r="A819" s="22"/>
      <c r="B819" s="35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ht="14.25" customHeight="1">
      <c r="A820" s="22"/>
      <c r="B820" s="35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ht="14.25" customHeight="1">
      <c r="A821" s="22"/>
      <c r="B821" s="35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ht="14.25" customHeight="1">
      <c r="A822" s="22"/>
      <c r="B822" s="35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ht="14.25" customHeight="1">
      <c r="A823" s="22"/>
      <c r="B823" s="35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ht="14.25" customHeight="1">
      <c r="A824" s="22"/>
      <c r="B824" s="35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ht="14.25" customHeight="1">
      <c r="A825" s="22"/>
      <c r="B825" s="35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ht="14.25" customHeight="1">
      <c r="A826" s="22"/>
      <c r="B826" s="35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ht="14.25" customHeight="1">
      <c r="A827" s="22"/>
      <c r="B827" s="35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ht="14.25" customHeight="1">
      <c r="A828" s="22"/>
      <c r="B828" s="35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ht="14.25" customHeight="1">
      <c r="A829" s="22"/>
      <c r="B829" s="35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ht="14.25" customHeight="1">
      <c r="A830" s="22"/>
      <c r="B830" s="35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ht="14.25" customHeight="1">
      <c r="A831" s="22"/>
      <c r="B831" s="35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ht="14.25" customHeight="1">
      <c r="A832" s="22"/>
      <c r="B832" s="35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ht="14.25" customHeight="1">
      <c r="A833" s="22"/>
      <c r="B833" s="35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ht="14.25" customHeight="1">
      <c r="A834" s="22"/>
      <c r="B834" s="35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ht="14.25" customHeight="1">
      <c r="A835" s="22"/>
      <c r="B835" s="35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ht="14.25" customHeight="1">
      <c r="A836" s="22"/>
      <c r="B836" s="35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ht="14.25" customHeight="1">
      <c r="A837" s="22"/>
      <c r="B837" s="35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ht="14.25" customHeight="1">
      <c r="A838" s="22"/>
      <c r="B838" s="35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ht="14.25" customHeight="1">
      <c r="A839" s="22"/>
      <c r="B839" s="35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ht="14.25" customHeight="1">
      <c r="A840" s="22"/>
      <c r="B840" s="35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ht="14.25" customHeight="1">
      <c r="A841" s="22"/>
      <c r="B841" s="35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ht="14.25" customHeight="1">
      <c r="A842" s="22"/>
      <c r="B842" s="35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ht="14.25" customHeight="1">
      <c r="A843" s="22"/>
      <c r="B843" s="35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ht="14.25" customHeight="1">
      <c r="A844" s="22"/>
      <c r="B844" s="35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ht="14.25" customHeight="1">
      <c r="A845" s="22"/>
      <c r="B845" s="35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ht="14.25" customHeight="1">
      <c r="A846" s="22"/>
      <c r="B846" s="35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ht="14.25" customHeight="1">
      <c r="A847" s="22"/>
      <c r="B847" s="35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ht="14.25" customHeight="1">
      <c r="A848" s="22"/>
      <c r="B848" s="35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ht="14.25" customHeight="1">
      <c r="A849" s="22"/>
      <c r="B849" s="35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ht="14.25" customHeight="1">
      <c r="A850" s="22"/>
      <c r="B850" s="35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ht="14.25" customHeight="1">
      <c r="A851" s="22"/>
      <c r="B851" s="35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ht="14.25" customHeight="1">
      <c r="A852" s="22"/>
      <c r="B852" s="35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ht="14.25" customHeight="1">
      <c r="A853" s="22"/>
      <c r="B853" s="35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ht="14.25" customHeight="1">
      <c r="A854" s="22"/>
      <c r="B854" s="35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ht="14.25" customHeight="1">
      <c r="A855" s="22"/>
      <c r="B855" s="35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ht="14.25" customHeight="1">
      <c r="A856" s="22"/>
      <c r="B856" s="35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ht="14.25" customHeight="1">
      <c r="A857" s="22"/>
      <c r="B857" s="35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ht="14.25" customHeight="1">
      <c r="A858" s="22"/>
      <c r="B858" s="35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ht="14.25" customHeight="1">
      <c r="A859" s="22"/>
      <c r="B859" s="35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ht="14.25" customHeight="1">
      <c r="A860" s="22"/>
      <c r="B860" s="35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ht="14.25" customHeight="1">
      <c r="A861" s="22"/>
      <c r="B861" s="35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ht="14.25" customHeight="1">
      <c r="A862" s="22"/>
      <c r="B862" s="35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ht="14.25" customHeight="1">
      <c r="A863" s="22"/>
      <c r="B863" s="35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ht="14.25" customHeight="1">
      <c r="A864" s="22"/>
      <c r="B864" s="35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ht="14.25" customHeight="1">
      <c r="A865" s="22"/>
      <c r="B865" s="35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ht="14.25" customHeight="1">
      <c r="A866" s="22"/>
      <c r="B866" s="35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ht="14.25" customHeight="1">
      <c r="A867" s="22"/>
      <c r="B867" s="35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ht="14.25" customHeight="1">
      <c r="A868" s="22"/>
      <c r="B868" s="35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ht="14.25" customHeight="1">
      <c r="A869" s="22"/>
      <c r="B869" s="35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ht="14.25" customHeight="1">
      <c r="A870" s="22"/>
      <c r="B870" s="35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ht="14.25" customHeight="1">
      <c r="A871" s="22"/>
      <c r="B871" s="35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ht="14.25" customHeight="1">
      <c r="A872" s="22"/>
      <c r="B872" s="35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ht="14.25" customHeight="1">
      <c r="A873" s="22"/>
      <c r="B873" s="35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ht="14.25" customHeight="1">
      <c r="A874" s="22"/>
      <c r="B874" s="35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ht="14.25" customHeight="1">
      <c r="A875" s="22"/>
      <c r="B875" s="35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ht="14.25" customHeight="1">
      <c r="A876" s="22"/>
      <c r="B876" s="35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ht="14.25" customHeight="1">
      <c r="A877" s="22"/>
      <c r="B877" s="35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ht="14.25" customHeight="1">
      <c r="A878" s="22"/>
      <c r="B878" s="35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ht="14.25" customHeight="1">
      <c r="A879" s="22"/>
      <c r="B879" s="35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ht="14.25" customHeight="1">
      <c r="A880" s="22"/>
      <c r="B880" s="35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ht="14.25" customHeight="1">
      <c r="A881" s="22"/>
      <c r="B881" s="35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ht="14.25" customHeight="1">
      <c r="A882" s="22"/>
      <c r="B882" s="35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ht="14.25" customHeight="1">
      <c r="A883" s="22"/>
      <c r="B883" s="35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ht="14.25" customHeight="1">
      <c r="A884" s="22"/>
      <c r="B884" s="35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ht="14.25" customHeight="1">
      <c r="A885" s="22"/>
      <c r="B885" s="35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ht="14.25" customHeight="1">
      <c r="A886" s="22"/>
      <c r="B886" s="35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ht="14.25" customHeight="1">
      <c r="A887" s="22"/>
      <c r="B887" s="35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ht="14.25" customHeight="1">
      <c r="A888" s="22"/>
      <c r="B888" s="35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ht="14.25" customHeight="1">
      <c r="A889" s="22"/>
      <c r="B889" s="35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ht="14.25" customHeight="1">
      <c r="A890" s="22"/>
      <c r="B890" s="35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ht="14.25" customHeight="1">
      <c r="A891" s="22"/>
      <c r="B891" s="35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ht="14.25" customHeight="1">
      <c r="A892" s="22"/>
      <c r="B892" s="35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ht="14.25" customHeight="1">
      <c r="A893" s="22"/>
      <c r="B893" s="35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ht="14.25" customHeight="1">
      <c r="A894" s="22"/>
      <c r="B894" s="35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ht="14.25" customHeight="1">
      <c r="A895" s="22"/>
      <c r="B895" s="35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ht="14.25" customHeight="1">
      <c r="A896" s="22"/>
      <c r="B896" s="35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ht="14.25" customHeight="1">
      <c r="A897" s="22"/>
      <c r="B897" s="35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ht="14.25" customHeight="1">
      <c r="A898" s="22"/>
      <c r="B898" s="35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ht="14.25" customHeight="1">
      <c r="A899" s="22"/>
      <c r="B899" s="35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ht="14.25" customHeight="1">
      <c r="A900" s="22"/>
      <c r="B900" s="35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ht="14.25" customHeight="1">
      <c r="A901" s="22"/>
      <c r="B901" s="35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ht="14.25" customHeight="1">
      <c r="A902" s="22"/>
      <c r="B902" s="35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ht="14.25" customHeight="1">
      <c r="A903" s="22"/>
      <c r="B903" s="35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ht="14.25" customHeight="1">
      <c r="A904" s="22"/>
      <c r="B904" s="35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ht="14.25" customHeight="1">
      <c r="A905" s="22"/>
      <c r="B905" s="35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ht="14.25" customHeight="1">
      <c r="A906" s="22"/>
      <c r="B906" s="35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ht="14.25" customHeight="1">
      <c r="A907" s="22"/>
      <c r="B907" s="35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ht="14.25" customHeight="1">
      <c r="A908" s="22"/>
      <c r="B908" s="35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ht="14.25" customHeight="1">
      <c r="A909" s="22"/>
      <c r="B909" s="35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ht="14.25" customHeight="1">
      <c r="A910" s="22"/>
      <c r="B910" s="35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ht="14.25" customHeight="1">
      <c r="A911" s="22"/>
      <c r="B911" s="35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ht="14.25" customHeight="1">
      <c r="A912" s="22"/>
      <c r="B912" s="35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ht="14.25" customHeight="1">
      <c r="A913" s="22"/>
      <c r="B913" s="35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ht="14.25" customHeight="1">
      <c r="A914" s="22"/>
      <c r="B914" s="35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ht="14.25" customHeight="1">
      <c r="A915" s="22"/>
      <c r="B915" s="35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ht="14.25" customHeight="1">
      <c r="A916" s="22"/>
      <c r="B916" s="35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ht="14.25" customHeight="1">
      <c r="A917" s="22"/>
      <c r="B917" s="35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ht="14.25" customHeight="1">
      <c r="A918" s="22"/>
      <c r="B918" s="35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ht="14.25" customHeight="1">
      <c r="A919" s="22"/>
      <c r="B919" s="35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ht="14.25" customHeight="1">
      <c r="A920" s="22"/>
      <c r="B920" s="35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ht="14.25" customHeight="1">
      <c r="A921" s="22"/>
      <c r="B921" s="35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ht="14.25" customHeight="1">
      <c r="A922" s="22"/>
      <c r="B922" s="35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ht="14.25" customHeight="1">
      <c r="A923" s="22"/>
      <c r="B923" s="35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ht="14.25" customHeight="1">
      <c r="A924" s="22"/>
      <c r="B924" s="35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ht="14.25" customHeight="1">
      <c r="A925" s="22"/>
      <c r="B925" s="35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ht="14.25" customHeight="1">
      <c r="A926" s="22"/>
      <c r="B926" s="35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ht="14.25" customHeight="1">
      <c r="A927" s="22"/>
      <c r="B927" s="35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ht="14.25" customHeight="1">
      <c r="A928" s="22"/>
      <c r="B928" s="35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ht="14.25" customHeight="1">
      <c r="A929" s="22"/>
      <c r="B929" s="35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ht="14.25" customHeight="1">
      <c r="A930" s="22"/>
      <c r="B930" s="35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ht="14.25" customHeight="1">
      <c r="A931" s="22"/>
      <c r="B931" s="35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ht="14.25" customHeight="1">
      <c r="A932" s="22"/>
      <c r="B932" s="35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ht="14.25" customHeight="1">
      <c r="A933" s="22"/>
      <c r="B933" s="35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ht="14.25" customHeight="1">
      <c r="A934" s="22"/>
      <c r="B934" s="35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ht="14.25" customHeight="1">
      <c r="A935" s="22"/>
      <c r="B935" s="35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ht="14.25" customHeight="1">
      <c r="A936" s="22"/>
      <c r="B936" s="35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ht="14.25" customHeight="1">
      <c r="A937" s="22"/>
      <c r="B937" s="35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ht="14.25" customHeight="1">
      <c r="A938" s="22"/>
      <c r="B938" s="35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ht="14.25" customHeight="1">
      <c r="A939" s="22"/>
      <c r="B939" s="35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ht="14.25" customHeight="1">
      <c r="A940" s="22"/>
      <c r="B940" s="35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ht="14.25" customHeight="1">
      <c r="A941" s="22"/>
      <c r="B941" s="35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ht="14.25" customHeight="1">
      <c r="A942" s="22"/>
      <c r="B942" s="35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ht="14.25" customHeight="1">
      <c r="A943" s="22"/>
      <c r="B943" s="35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ht="14.25" customHeight="1">
      <c r="A944" s="22"/>
      <c r="B944" s="35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ht="14.25" customHeight="1">
      <c r="A945" s="22"/>
      <c r="B945" s="35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ht="14.25" customHeight="1">
      <c r="A946" s="22"/>
      <c r="B946" s="35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ht="14.25" customHeight="1">
      <c r="A947" s="22"/>
      <c r="B947" s="35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ht="14.25" customHeight="1">
      <c r="A948" s="22"/>
      <c r="B948" s="35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ht="14.25" customHeight="1">
      <c r="A949" s="22"/>
      <c r="B949" s="35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ht="14.25" customHeight="1">
      <c r="A950" s="22"/>
      <c r="B950" s="35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ht="14.25" customHeight="1">
      <c r="A951" s="22"/>
      <c r="B951" s="35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ht="14.25" customHeight="1">
      <c r="A952" s="22"/>
      <c r="B952" s="35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ht="14.25" customHeight="1">
      <c r="A953" s="22"/>
      <c r="B953" s="35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ht="14.25" customHeight="1">
      <c r="A954" s="22"/>
      <c r="B954" s="35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ht="14.25" customHeight="1">
      <c r="A955" s="22"/>
      <c r="B955" s="35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ht="14.25" customHeight="1">
      <c r="A956" s="22"/>
      <c r="B956" s="35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ht="14.25" customHeight="1">
      <c r="A957" s="22"/>
      <c r="B957" s="35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ht="14.25" customHeight="1">
      <c r="A958" s="22"/>
      <c r="B958" s="35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ht="14.25" customHeight="1">
      <c r="A959" s="22"/>
      <c r="B959" s="35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ht="14.25" customHeight="1">
      <c r="A960" s="22"/>
      <c r="B960" s="35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ht="14.25" customHeight="1">
      <c r="A961" s="22"/>
      <c r="B961" s="35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ht="14.25" customHeight="1">
      <c r="A962" s="22"/>
      <c r="B962" s="35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ht="14.25" customHeight="1">
      <c r="A963" s="22"/>
      <c r="B963" s="35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ht="14.25" customHeight="1">
      <c r="A964" s="22"/>
      <c r="B964" s="35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ht="14.25" customHeight="1">
      <c r="A965" s="22"/>
      <c r="B965" s="35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ht="14.25" customHeight="1">
      <c r="A966" s="22"/>
      <c r="B966" s="35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ht="14.25" customHeight="1">
      <c r="A967" s="22"/>
      <c r="B967" s="35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ht="14.25" customHeight="1">
      <c r="A968" s="22"/>
      <c r="B968" s="35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ht="14.25" customHeight="1">
      <c r="A969" s="22"/>
      <c r="B969" s="35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ht="14.25" customHeight="1">
      <c r="A970" s="22"/>
      <c r="B970" s="35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ht="14.25" customHeight="1">
      <c r="A971" s="22"/>
      <c r="B971" s="35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ht="14.25" customHeight="1">
      <c r="A972" s="22"/>
      <c r="B972" s="35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ht="14.25" customHeight="1">
      <c r="A973" s="22"/>
      <c r="B973" s="35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ht="14.25" customHeight="1">
      <c r="A974" s="22"/>
      <c r="B974" s="35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ht="14.25" customHeight="1">
      <c r="A975" s="22"/>
      <c r="B975" s="35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ht="14.25" customHeight="1">
      <c r="A976" s="22"/>
      <c r="B976" s="35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ht="14.25" customHeight="1">
      <c r="A977" s="22"/>
      <c r="B977" s="35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ht="14.25" customHeight="1">
      <c r="A978" s="22"/>
      <c r="B978" s="35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ht="14.25" customHeight="1">
      <c r="A979" s="22"/>
      <c r="B979" s="35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ht="14.25" customHeight="1">
      <c r="A980" s="22"/>
      <c r="B980" s="35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ht="14.25" customHeight="1">
      <c r="A981" s="22"/>
      <c r="B981" s="35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ht="14.25" customHeight="1">
      <c r="A982" s="22"/>
      <c r="B982" s="35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ht="14.25" customHeight="1">
      <c r="A983" s="22"/>
      <c r="B983" s="35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ht="14.25" customHeight="1">
      <c r="A984" s="22"/>
      <c r="B984" s="35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ht="14.25" customHeight="1">
      <c r="A985" s="22"/>
      <c r="B985" s="35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ht="14.25" customHeight="1">
      <c r="A986" s="22"/>
      <c r="B986" s="35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ht="14.25" customHeight="1">
      <c r="A987" s="22"/>
      <c r="B987" s="35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ht="14.25" customHeight="1">
      <c r="A988" s="22"/>
      <c r="B988" s="35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ht="14.25" customHeight="1">
      <c r="A989" s="22"/>
      <c r="B989" s="35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ht="14.25" customHeight="1">
      <c r="A990" s="22"/>
      <c r="B990" s="35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ht="14.25" customHeight="1">
      <c r="A991" s="22"/>
      <c r="B991" s="35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ht="14.25" customHeight="1">
      <c r="A992" s="22"/>
      <c r="B992" s="35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ht="14.25" customHeight="1">
      <c r="A993" s="22"/>
      <c r="B993" s="35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ht="14.25" customHeight="1">
      <c r="A994" s="22"/>
      <c r="B994" s="35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ht="14.25" customHeight="1">
      <c r="A995" s="22"/>
      <c r="B995" s="35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ht="14.25" customHeight="1">
      <c r="A996" s="22"/>
      <c r="B996" s="35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ht="14.25" customHeight="1">
      <c r="A997" s="22"/>
      <c r="B997" s="35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ht="14.25" customHeight="1">
      <c r="A998" s="22"/>
      <c r="B998" s="35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ht="14.25" customHeight="1">
      <c r="A999" s="22"/>
      <c r="B999" s="35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ht="14.25" customHeight="1">
      <c r="A1000" s="22"/>
      <c r="B1000" s="35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2023-12-01T05:30:11Z</dcterms:created>
  <dc:creator>Lusiani</dc:creator>
</cp:coreProperties>
</file>